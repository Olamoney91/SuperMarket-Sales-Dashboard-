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8_{A598E78E-40D1-49FE-805E-21D6A2EE7939}" xr6:coauthVersionLast="47" xr6:coauthVersionMax="47" xr10:uidLastSave="{00000000-0000-0000-0000-000000000000}"/>
  <bookViews>
    <workbookView xWindow="-110" yWindow="-110" windowWidth="19420" windowHeight="10300" activeTab="1" xr2:uid="{AB84E515-6A58-4A4E-A8E7-F26E1AEF808B}"/>
  </bookViews>
  <sheets>
    <sheet name="Pivot Table" sheetId="2" r:id="rId1"/>
    <sheet name="Dashboard" sheetId="5" r:id="rId2"/>
    <sheet name="Data" sheetId="1" r:id="rId3"/>
  </sheets>
  <definedNames>
    <definedName name="Slicer_City1">#N/A</definedName>
    <definedName name="Slicer_Customer_type">#N/A</definedName>
    <definedName name="Slicer_Gender1">#N/A</definedName>
    <definedName name="Slicer_Product_line1">#N/A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1001" i="1" l="1"/>
  <c r="I1000" i="1"/>
  <c r="I999" i="1"/>
  <c r="I998" i="1"/>
  <c r="I997" i="1"/>
  <c r="I996" i="1"/>
  <c r="I995" i="1"/>
  <c r="I994" i="1"/>
  <c r="I993" i="1"/>
  <c r="I992" i="1"/>
  <c r="I991" i="1"/>
  <c r="I990" i="1"/>
  <c r="I989" i="1"/>
  <c r="I988" i="1"/>
  <c r="I987" i="1"/>
  <c r="I986" i="1"/>
  <c r="I985" i="1"/>
  <c r="I984" i="1"/>
  <c r="I983" i="1"/>
  <c r="I982" i="1"/>
  <c r="I981" i="1"/>
  <c r="I980" i="1"/>
  <c r="I979" i="1"/>
  <c r="I978" i="1"/>
  <c r="I977" i="1"/>
  <c r="I976" i="1"/>
  <c r="I975" i="1"/>
  <c r="I974" i="1"/>
  <c r="I973" i="1"/>
  <c r="I972" i="1"/>
  <c r="I971" i="1"/>
  <c r="I970" i="1"/>
  <c r="I969" i="1"/>
  <c r="I968" i="1"/>
  <c r="I967" i="1"/>
  <c r="I966" i="1"/>
  <c r="I965" i="1"/>
  <c r="I964" i="1"/>
  <c r="I963" i="1"/>
  <c r="I962" i="1"/>
  <c r="I961" i="1"/>
  <c r="I960" i="1"/>
  <c r="I959" i="1"/>
  <c r="I958" i="1"/>
  <c r="I957" i="1"/>
  <c r="I956" i="1"/>
  <c r="I955" i="1"/>
  <c r="I954" i="1"/>
  <c r="I953" i="1"/>
  <c r="I952" i="1"/>
  <c r="I951" i="1"/>
  <c r="I950" i="1"/>
  <c r="I949" i="1"/>
  <c r="I948" i="1"/>
  <c r="I947" i="1"/>
  <c r="I946" i="1"/>
  <c r="I945" i="1"/>
  <c r="I944" i="1"/>
  <c r="I943" i="1"/>
  <c r="I942" i="1"/>
  <c r="I941" i="1"/>
  <c r="I940" i="1"/>
  <c r="I939" i="1"/>
  <c r="I938" i="1"/>
  <c r="I937" i="1"/>
  <c r="I936" i="1"/>
  <c r="I935" i="1"/>
  <c r="I934" i="1"/>
  <c r="I933" i="1"/>
  <c r="I932" i="1"/>
  <c r="I931" i="1"/>
  <c r="I930" i="1"/>
  <c r="I929" i="1"/>
  <c r="I928" i="1"/>
  <c r="I927" i="1"/>
  <c r="I926" i="1"/>
  <c r="I925" i="1"/>
  <c r="I924" i="1"/>
  <c r="I923" i="1"/>
  <c r="I922" i="1"/>
  <c r="I921" i="1"/>
  <c r="I920" i="1"/>
  <c r="I919" i="1"/>
  <c r="I918" i="1"/>
  <c r="I917" i="1"/>
  <c r="I916" i="1"/>
  <c r="I915" i="1"/>
  <c r="I914" i="1"/>
  <c r="I913" i="1"/>
  <c r="I912" i="1"/>
  <c r="I911" i="1"/>
  <c r="I910" i="1"/>
  <c r="I909" i="1"/>
  <c r="I908" i="1"/>
  <c r="I907" i="1"/>
  <c r="I906" i="1"/>
  <c r="I905" i="1"/>
  <c r="I904" i="1"/>
  <c r="I903" i="1"/>
  <c r="I902" i="1"/>
  <c r="I901" i="1"/>
  <c r="I900" i="1"/>
  <c r="I899" i="1"/>
  <c r="I898" i="1"/>
  <c r="I897" i="1"/>
  <c r="I896" i="1"/>
  <c r="I895" i="1"/>
  <c r="I894" i="1"/>
  <c r="I893" i="1"/>
  <c r="I892" i="1"/>
  <c r="I891" i="1"/>
  <c r="I890" i="1"/>
  <c r="I889" i="1"/>
  <c r="I888" i="1"/>
  <c r="I887" i="1"/>
  <c r="I886" i="1"/>
  <c r="I885" i="1"/>
  <c r="I884" i="1"/>
  <c r="I883" i="1"/>
  <c r="I882" i="1"/>
  <c r="I881" i="1"/>
  <c r="I880" i="1"/>
  <c r="I879" i="1"/>
  <c r="I878" i="1"/>
  <c r="I877" i="1"/>
  <c r="I876" i="1"/>
  <c r="I875" i="1"/>
  <c r="I874" i="1"/>
  <c r="I873" i="1"/>
  <c r="I872" i="1"/>
  <c r="I871" i="1"/>
  <c r="I870" i="1"/>
  <c r="I869" i="1"/>
  <c r="I868" i="1"/>
  <c r="I867" i="1"/>
  <c r="I866" i="1"/>
  <c r="I865" i="1"/>
  <c r="I864" i="1"/>
  <c r="I863" i="1"/>
  <c r="I862" i="1"/>
  <c r="I861" i="1"/>
  <c r="I860" i="1"/>
  <c r="I859" i="1"/>
  <c r="I858" i="1"/>
  <c r="I857" i="1"/>
  <c r="I856" i="1"/>
  <c r="I855" i="1"/>
  <c r="I854" i="1"/>
  <c r="I853" i="1"/>
  <c r="I852" i="1"/>
  <c r="I851" i="1"/>
  <c r="I850" i="1"/>
  <c r="I849" i="1"/>
  <c r="I848" i="1"/>
  <c r="I847" i="1"/>
  <c r="I846" i="1"/>
  <c r="I845" i="1"/>
  <c r="I844" i="1"/>
  <c r="I843" i="1"/>
  <c r="I842" i="1"/>
  <c r="I841" i="1"/>
  <c r="I840" i="1"/>
  <c r="I839" i="1"/>
  <c r="I838" i="1"/>
  <c r="I837" i="1"/>
  <c r="I836" i="1"/>
  <c r="I835" i="1"/>
  <c r="I834" i="1"/>
  <c r="I833" i="1"/>
  <c r="I832" i="1"/>
  <c r="I831" i="1"/>
  <c r="I830" i="1"/>
  <c r="I829" i="1"/>
  <c r="I828" i="1"/>
  <c r="I827" i="1"/>
  <c r="I826" i="1"/>
  <c r="I825" i="1"/>
  <c r="I824" i="1"/>
  <c r="I823" i="1"/>
  <c r="I822" i="1"/>
  <c r="I821" i="1"/>
  <c r="I820" i="1"/>
  <c r="I819" i="1"/>
  <c r="I818" i="1"/>
  <c r="I817" i="1"/>
  <c r="I816" i="1"/>
  <c r="I815" i="1"/>
  <c r="I814" i="1"/>
  <c r="I813" i="1"/>
  <c r="I812" i="1"/>
  <c r="I811" i="1"/>
  <c r="I810" i="1"/>
  <c r="I809" i="1"/>
  <c r="I808" i="1"/>
  <c r="I807" i="1"/>
  <c r="I806" i="1"/>
  <c r="I805" i="1"/>
  <c r="I804" i="1"/>
  <c r="I803" i="1"/>
  <c r="I802" i="1"/>
  <c r="I801" i="1"/>
  <c r="I800" i="1"/>
  <c r="I799" i="1"/>
  <c r="I798" i="1"/>
  <c r="I797" i="1"/>
  <c r="I796" i="1"/>
  <c r="I795" i="1"/>
  <c r="I794" i="1"/>
  <c r="I793" i="1"/>
  <c r="I792" i="1"/>
  <c r="I791" i="1"/>
  <c r="I790" i="1"/>
  <c r="I789" i="1"/>
  <c r="I788" i="1"/>
  <c r="I787" i="1"/>
  <c r="I786" i="1"/>
  <c r="I785" i="1"/>
  <c r="I784" i="1"/>
  <c r="I783" i="1"/>
  <c r="I782" i="1"/>
  <c r="I781" i="1"/>
  <c r="I780" i="1"/>
  <c r="I779" i="1"/>
  <c r="I778" i="1"/>
  <c r="I777" i="1"/>
  <c r="I776" i="1"/>
  <c r="I775" i="1"/>
  <c r="I774" i="1"/>
  <c r="I773" i="1"/>
  <c r="I772" i="1"/>
  <c r="I771" i="1"/>
  <c r="I770" i="1"/>
  <c r="I769" i="1"/>
  <c r="I768" i="1"/>
  <c r="I767" i="1"/>
  <c r="I766" i="1"/>
  <c r="I765" i="1"/>
  <c r="I764" i="1"/>
  <c r="I763" i="1"/>
  <c r="I762" i="1"/>
  <c r="I761" i="1"/>
  <c r="I760" i="1"/>
  <c r="I759" i="1"/>
  <c r="I758" i="1"/>
  <c r="I757" i="1"/>
  <c r="I756" i="1"/>
  <c r="I755" i="1"/>
  <c r="I754" i="1"/>
  <c r="I753" i="1"/>
  <c r="I752" i="1"/>
  <c r="I751" i="1"/>
  <c r="I750" i="1"/>
  <c r="I749" i="1"/>
  <c r="I748" i="1"/>
  <c r="I747" i="1"/>
  <c r="I746" i="1"/>
  <c r="I745" i="1"/>
  <c r="I744" i="1"/>
  <c r="I743" i="1"/>
  <c r="I742" i="1"/>
  <c r="I741" i="1"/>
  <c r="I740" i="1"/>
  <c r="I739" i="1"/>
  <c r="I738" i="1"/>
  <c r="I737" i="1"/>
  <c r="I736" i="1"/>
  <c r="I735" i="1"/>
  <c r="I734" i="1"/>
  <c r="I733" i="1"/>
  <c r="I732" i="1"/>
  <c r="I731" i="1"/>
  <c r="I730" i="1"/>
  <c r="I729" i="1"/>
  <c r="I728" i="1"/>
  <c r="I727" i="1"/>
  <c r="I726" i="1"/>
  <c r="I725" i="1"/>
  <c r="I724" i="1"/>
  <c r="I723" i="1"/>
  <c r="I722" i="1"/>
  <c r="I721" i="1"/>
  <c r="I720" i="1"/>
  <c r="I719" i="1"/>
  <c r="I718" i="1"/>
  <c r="I717" i="1"/>
  <c r="I716" i="1"/>
  <c r="I715" i="1"/>
  <c r="I714" i="1"/>
  <c r="I713" i="1"/>
  <c r="I712" i="1"/>
  <c r="I711" i="1"/>
  <c r="I710" i="1"/>
  <c r="I709" i="1"/>
  <c r="I708" i="1"/>
  <c r="I707" i="1"/>
  <c r="I706" i="1"/>
  <c r="I705" i="1"/>
  <c r="I704" i="1"/>
  <c r="I703" i="1"/>
  <c r="I702" i="1"/>
  <c r="I701" i="1"/>
  <c r="I700" i="1"/>
  <c r="I699" i="1"/>
  <c r="I698" i="1"/>
  <c r="I697" i="1"/>
  <c r="I696" i="1"/>
  <c r="I695" i="1"/>
  <c r="I694" i="1"/>
  <c r="I693" i="1"/>
  <c r="I692" i="1"/>
  <c r="I691" i="1"/>
  <c r="I690" i="1"/>
  <c r="I689" i="1"/>
  <c r="I688" i="1"/>
  <c r="I687" i="1"/>
  <c r="I686" i="1"/>
  <c r="I685" i="1"/>
  <c r="I684" i="1"/>
  <c r="I683" i="1"/>
  <c r="I682" i="1"/>
  <c r="I681" i="1"/>
  <c r="I680" i="1"/>
  <c r="I679" i="1"/>
  <c r="I678" i="1"/>
  <c r="I677" i="1"/>
  <c r="I676" i="1"/>
  <c r="I675" i="1"/>
  <c r="I674" i="1"/>
  <c r="I673" i="1"/>
  <c r="I672" i="1"/>
  <c r="I671" i="1"/>
  <c r="I670" i="1"/>
  <c r="I669" i="1"/>
  <c r="I668" i="1"/>
  <c r="I667" i="1"/>
  <c r="I666" i="1"/>
  <c r="I665" i="1"/>
  <c r="I664" i="1"/>
  <c r="I663" i="1"/>
  <c r="I662" i="1"/>
  <c r="I661" i="1"/>
  <c r="I660" i="1"/>
  <c r="I659" i="1"/>
  <c r="I658" i="1"/>
  <c r="I657" i="1"/>
  <c r="I656" i="1"/>
  <c r="I655" i="1"/>
  <c r="I654" i="1"/>
  <c r="I653" i="1"/>
  <c r="I652" i="1"/>
  <c r="I651" i="1"/>
  <c r="I650" i="1"/>
  <c r="I649" i="1"/>
  <c r="I648" i="1"/>
  <c r="I647" i="1"/>
  <c r="I646" i="1"/>
  <c r="I645" i="1"/>
  <c r="I644" i="1"/>
  <c r="I643" i="1"/>
  <c r="I642" i="1"/>
  <c r="I641" i="1"/>
  <c r="I640" i="1"/>
  <c r="I639" i="1"/>
  <c r="I638" i="1"/>
  <c r="I637" i="1"/>
  <c r="I636" i="1"/>
  <c r="I635" i="1"/>
  <c r="I634" i="1"/>
  <c r="I633" i="1"/>
  <c r="I632" i="1"/>
  <c r="I631" i="1"/>
  <c r="I630" i="1"/>
  <c r="I629" i="1"/>
  <c r="I628" i="1"/>
  <c r="I627" i="1"/>
  <c r="I626" i="1"/>
  <c r="I625" i="1"/>
  <c r="I624" i="1"/>
  <c r="I623" i="1"/>
  <c r="I622" i="1"/>
  <c r="I621" i="1"/>
  <c r="I620" i="1"/>
  <c r="I619" i="1"/>
  <c r="I618" i="1"/>
  <c r="I617" i="1"/>
  <c r="I616" i="1"/>
  <c r="I615" i="1"/>
  <c r="I614" i="1"/>
  <c r="I613" i="1"/>
  <c r="I612" i="1"/>
  <c r="I611" i="1"/>
  <c r="I610" i="1"/>
  <c r="I609" i="1"/>
  <c r="I608" i="1"/>
  <c r="I607" i="1"/>
  <c r="I606" i="1"/>
  <c r="I605" i="1"/>
  <c r="I604" i="1"/>
  <c r="I603" i="1"/>
  <c r="I602" i="1"/>
  <c r="I601" i="1"/>
  <c r="I600" i="1"/>
  <c r="I599" i="1"/>
  <c r="I598" i="1"/>
  <c r="I597" i="1"/>
  <c r="I596" i="1"/>
  <c r="I595" i="1"/>
  <c r="I594" i="1"/>
  <c r="I593" i="1"/>
  <c r="I592" i="1"/>
  <c r="I591" i="1"/>
  <c r="I590" i="1"/>
  <c r="I589" i="1"/>
  <c r="I588" i="1"/>
  <c r="I587" i="1"/>
  <c r="I586" i="1"/>
  <c r="I585" i="1"/>
  <c r="I584" i="1"/>
  <c r="I583" i="1"/>
  <c r="I582" i="1"/>
  <c r="I581" i="1"/>
  <c r="I580" i="1"/>
  <c r="I579" i="1"/>
  <c r="I578" i="1"/>
  <c r="I577" i="1"/>
  <c r="I576" i="1"/>
  <c r="I575" i="1"/>
  <c r="I574" i="1"/>
  <c r="I573" i="1"/>
  <c r="I572" i="1"/>
  <c r="I571" i="1"/>
  <c r="I570" i="1"/>
  <c r="I569" i="1"/>
  <c r="I568" i="1"/>
  <c r="I567" i="1"/>
  <c r="I566" i="1"/>
  <c r="I565" i="1"/>
  <c r="I564" i="1"/>
  <c r="I563" i="1"/>
  <c r="I562" i="1"/>
  <c r="I561" i="1"/>
  <c r="I560" i="1"/>
  <c r="I559" i="1"/>
  <c r="I558" i="1"/>
  <c r="I557" i="1"/>
  <c r="I556" i="1"/>
  <c r="I555" i="1"/>
  <c r="I554" i="1"/>
  <c r="I553" i="1"/>
  <c r="I552" i="1"/>
  <c r="I551" i="1"/>
  <c r="I550" i="1"/>
  <c r="I549" i="1"/>
  <c r="I548" i="1"/>
  <c r="I547" i="1"/>
  <c r="I546" i="1"/>
  <c r="I545" i="1"/>
  <c r="I544" i="1"/>
  <c r="I543" i="1"/>
  <c r="I542" i="1"/>
  <c r="I541" i="1"/>
  <c r="I540" i="1"/>
  <c r="I539" i="1"/>
  <c r="I538" i="1"/>
  <c r="I537" i="1"/>
  <c r="I536" i="1"/>
  <c r="I535" i="1"/>
  <c r="I534" i="1"/>
  <c r="I533" i="1"/>
  <c r="I532" i="1"/>
  <c r="I531" i="1"/>
  <c r="I530" i="1"/>
  <c r="I529" i="1"/>
  <c r="I528" i="1"/>
  <c r="I527" i="1"/>
  <c r="I526" i="1"/>
  <c r="I525" i="1"/>
  <c r="I524" i="1"/>
  <c r="I523" i="1"/>
  <c r="I522" i="1"/>
  <c r="I521" i="1"/>
  <c r="I520" i="1"/>
  <c r="I519" i="1"/>
  <c r="I518" i="1"/>
  <c r="I517" i="1"/>
  <c r="I516" i="1"/>
  <c r="I515" i="1"/>
  <c r="I514" i="1"/>
  <c r="I513" i="1"/>
  <c r="I512" i="1"/>
  <c r="I511" i="1"/>
  <c r="I510" i="1"/>
  <c r="I509" i="1"/>
  <c r="I508" i="1"/>
  <c r="I507" i="1"/>
  <c r="I506" i="1"/>
  <c r="I505" i="1"/>
  <c r="I504" i="1"/>
  <c r="I503" i="1"/>
  <c r="I502" i="1"/>
  <c r="I501" i="1"/>
  <c r="I500" i="1"/>
  <c r="I499" i="1"/>
  <c r="I498" i="1"/>
  <c r="I497" i="1"/>
  <c r="I496" i="1"/>
  <c r="I495" i="1"/>
  <c r="I494" i="1"/>
  <c r="I493" i="1"/>
  <c r="I492" i="1"/>
  <c r="I491" i="1"/>
  <c r="I490" i="1"/>
  <c r="I489" i="1"/>
  <c r="I488" i="1"/>
  <c r="I487" i="1"/>
  <c r="I486" i="1"/>
  <c r="I485" i="1"/>
  <c r="I484" i="1"/>
  <c r="I483" i="1"/>
  <c r="I482" i="1"/>
  <c r="I481" i="1"/>
  <c r="I480" i="1"/>
  <c r="I479" i="1"/>
  <c r="I478" i="1"/>
  <c r="I477" i="1"/>
  <c r="I476" i="1"/>
  <c r="I475" i="1"/>
  <c r="I474" i="1"/>
  <c r="I473" i="1"/>
  <c r="I472" i="1"/>
  <c r="I471" i="1"/>
  <c r="I470" i="1"/>
  <c r="I469" i="1"/>
  <c r="I468" i="1"/>
  <c r="I467" i="1"/>
  <c r="I466" i="1"/>
  <c r="I465" i="1"/>
  <c r="I464" i="1"/>
  <c r="I463" i="1"/>
  <c r="I462" i="1"/>
  <c r="I461" i="1"/>
  <c r="I460" i="1"/>
  <c r="I459" i="1"/>
  <c r="I458" i="1"/>
  <c r="I457" i="1"/>
  <c r="I456" i="1"/>
  <c r="I455" i="1"/>
  <c r="I454" i="1"/>
  <c r="I453" i="1"/>
  <c r="I452" i="1"/>
  <c r="I451" i="1"/>
  <c r="I450" i="1"/>
  <c r="I449" i="1"/>
  <c r="I448" i="1"/>
  <c r="I447" i="1"/>
  <c r="I446" i="1"/>
  <c r="I445" i="1"/>
  <c r="I444" i="1"/>
  <c r="I443" i="1"/>
  <c r="I442" i="1"/>
  <c r="I441" i="1"/>
  <c r="I440" i="1"/>
  <c r="I439" i="1"/>
  <c r="I438" i="1"/>
  <c r="I437" i="1"/>
  <c r="I436" i="1"/>
  <c r="I435" i="1"/>
  <c r="I434" i="1"/>
  <c r="I433" i="1"/>
  <c r="I432" i="1"/>
  <c r="I431" i="1"/>
  <c r="I430" i="1"/>
  <c r="I429" i="1"/>
  <c r="I428" i="1"/>
  <c r="I427" i="1"/>
  <c r="I426" i="1"/>
  <c r="I425" i="1"/>
  <c r="I424" i="1"/>
  <c r="I423" i="1"/>
  <c r="I422" i="1"/>
  <c r="I421" i="1"/>
  <c r="I420" i="1"/>
  <c r="I419" i="1"/>
  <c r="I418" i="1"/>
  <c r="I417" i="1"/>
  <c r="I416" i="1"/>
  <c r="I415" i="1"/>
  <c r="I414" i="1"/>
  <c r="I413" i="1"/>
  <c r="I412" i="1"/>
  <c r="I411" i="1"/>
  <c r="I410" i="1"/>
  <c r="I409" i="1"/>
  <c r="I408" i="1"/>
  <c r="I407" i="1"/>
  <c r="I406" i="1"/>
  <c r="I405" i="1"/>
  <c r="I404" i="1"/>
  <c r="I403" i="1"/>
  <c r="I402" i="1"/>
  <c r="I401" i="1"/>
  <c r="I400" i="1"/>
  <c r="I399" i="1"/>
  <c r="I398" i="1"/>
  <c r="I397" i="1"/>
  <c r="I396" i="1"/>
  <c r="I395" i="1"/>
  <c r="I394" i="1"/>
  <c r="I393" i="1"/>
  <c r="I392" i="1"/>
  <c r="I391" i="1"/>
  <c r="I390" i="1"/>
  <c r="I389" i="1"/>
  <c r="I388" i="1"/>
  <c r="I387" i="1"/>
  <c r="I386" i="1"/>
  <c r="I385" i="1"/>
  <c r="I384" i="1"/>
  <c r="I383" i="1"/>
  <c r="I382" i="1"/>
  <c r="I381" i="1"/>
  <c r="I380" i="1"/>
  <c r="I379" i="1"/>
  <c r="I378" i="1"/>
  <c r="I377" i="1"/>
  <c r="I376" i="1"/>
  <c r="I375" i="1"/>
  <c r="I374" i="1"/>
  <c r="I373" i="1"/>
  <c r="I372" i="1"/>
  <c r="I371" i="1"/>
  <c r="I370" i="1"/>
  <c r="I369" i="1"/>
  <c r="I368" i="1"/>
  <c r="I367" i="1"/>
  <c r="I366" i="1"/>
  <c r="I365" i="1"/>
  <c r="I364" i="1"/>
  <c r="I363" i="1"/>
  <c r="I362" i="1"/>
  <c r="I361" i="1"/>
  <c r="I360" i="1"/>
  <c r="I359" i="1"/>
  <c r="I358" i="1"/>
  <c r="I357" i="1"/>
  <c r="I356" i="1"/>
  <c r="I355" i="1"/>
  <c r="I354" i="1"/>
  <c r="I353" i="1"/>
  <c r="I352" i="1"/>
  <c r="I351" i="1"/>
  <c r="I350" i="1"/>
  <c r="I349" i="1"/>
  <c r="I348" i="1"/>
  <c r="I347" i="1"/>
  <c r="I346" i="1"/>
  <c r="I345" i="1"/>
  <c r="I344" i="1"/>
  <c r="I343" i="1"/>
  <c r="I342" i="1"/>
  <c r="I341" i="1"/>
  <c r="I340" i="1"/>
  <c r="I339" i="1"/>
  <c r="I338" i="1"/>
  <c r="I337" i="1"/>
  <c r="I336" i="1"/>
  <c r="I335" i="1"/>
  <c r="I334" i="1"/>
  <c r="I333" i="1"/>
  <c r="I332" i="1"/>
  <c r="I331" i="1"/>
  <c r="I330" i="1"/>
  <c r="I329" i="1"/>
  <c r="I328" i="1"/>
  <c r="I327" i="1"/>
  <c r="I326" i="1"/>
  <c r="I325" i="1"/>
  <c r="I324" i="1"/>
  <c r="I323" i="1"/>
  <c r="I322" i="1"/>
  <c r="I321" i="1"/>
  <c r="I320" i="1"/>
  <c r="I319" i="1"/>
  <c r="I318" i="1"/>
  <c r="I317" i="1"/>
  <c r="I316" i="1"/>
  <c r="I315" i="1"/>
  <c r="I314" i="1"/>
  <c r="I313" i="1"/>
  <c r="I312" i="1"/>
  <c r="I311" i="1"/>
  <c r="I310" i="1"/>
  <c r="I309" i="1"/>
  <c r="I308" i="1"/>
  <c r="I307" i="1"/>
  <c r="I306" i="1"/>
  <c r="I305" i="1"/>
  <c r="I304" i="1"/>
  <c r="I303" i="1"/>
  <c r="I302" i="1"/>
  <c r="I301" i="1"/>
  <c r="I300" i="1"/>
  <c r="I299" i="1"/>
  <c r="I298" i="1"/>
  <c r="I297" i="1"/>
  <c r="I296" i="1"/>
  <c r="I295" i="1"/>
  <c r="I294" i="1"/>
  <c r="I293" i="1"/>
  <c r="I292" i="1"/>
  <c r="I291" i="1"/>
  <c r="I290" i="1"/>
  <c r="I289" i="1"/>
  <c r="I288" i="1"/>
  <c r="I287" i="1"/>
  <c r="I286" i="1"/>
  <c r="I285" i="1"/>
  <c r="I284" i="1"/>
  <c r="I283" i="1"/>
  <c r="I282" i="1"/>
  <c r="I281" i="1"/>
  <c r="I280" i="1"/>
  <c r="I279" i="1"/>
  <c r="I278" i="1"/>
  <c r="I277" i="1"/>
  <c r="I276" i="1"/>
  <c r="I275" i="1"/>
  <c r="I274" i="1"/>
  <c r="I273" i="1"/>
  <c r="I272" i="1"/>
  <c r="I271" i="1"/>
  <c r="I270" i="1"/>
  <c r="I269" i="1"/>
  <c r="I268" i="1"/>
  <c r="I267" i="1"/>
  <c r="I266" i="1"/>
  <c r="I265" i="1"/>
  <c r="I264" i="1"/>
  <c r="I263" i="1"/>
  <c r="I262" i="1"/>
  <c r="I261" i="1"/>
  <c r="I260" i="1"/>
  <c r="I259" i="1"/>
  <c r="I258" i="1"/>
  <c r="I257" i="1"/>
  <c r="I256" i="1"/>
  <c r="I255" i="1"/>
  <c r="I254" i="1"/>
  <c r="I253" i="1"/>
  <c r="I252" i="1"/>
  <c r="I251" i="1"/>
  <c r="I250" i="1"/>
  <c r="I249" i="1"/>
  <c r="I248" i="1"/>
  <c r="I247" i="1"/>
  <c r="I246" i="1"/>
  <c r="I245" i="1"/>
  <c r="I244" i="1"/>
  <c r="I243" i="1"/>
  <c r="I242" i="1"/>
  <c r="I241" i="1"/>
  <c r="I240" i="1"/>
  <c r="I239" i="1"/>
  <c r="I238" i="1"/>
  <c r="I237" i="1"/>
  <c r="I236" i="1"/>
  <c r="I235" i="1"/>
  <c r="I234" i="1"/>
  <c r="I233" i="1"/>
  <c r="I232" i="1"/>
  <c r="I231" i="1"/>
  <c r="I230" i="1"/>
  <c r="I229" i="1"/>
  <c r="I228" i="1"/>
  <c r="I227" i="1"/>
  <c r="I226" i="1"/>
  <c r="I225" i="1"/>
  <c r="I224" i="1"/>
  <c r="I223" i="1"/>
  <c r="I222" i="1"/>
  <c r="I221" i="1"/>
  <c r="I220" i="1"/>
  <c r="I219" i="1"/>
  <c r="I218" i="1"/>
  <c r="I217" i="1"/>
  <c r="I216" i="1"/>
  <c r="I215" i="1"/>
  <c r="I214" i="1"/>
  <c r="I213" i="1"/>
  <c r="I212" i="1"/>
  <c r="I211" i="1"/>
  <c r="I210" i="1"/>
  <c r="I209" i="1"/>
  <c r="I208" i="1"/>
  <c r="I207" i="1"/>
  <c r="I206" i="1"/>
  <c r="I205" i="1"/>
  <c r="I204" i="1"/>
  <c r="I203" i="1"/>
  <c r="I202" i="1"/>
  <c r="I201" i="1"/>
  <c r="I200" i="1"/>
  <c r="I199" i="1"/>
  <c r="I198" i="1"/>
  <c r="I197" i="1"/>
  <c r="I196" i="1"/>
  <c r="I195" i="1"/>
  <c r="I194" i="1"/>
  <c r="I193" i="1"/>
  <c r="I192" i="1"/>
  <c r="I191" i="1"/>
  <c r="I190" i="1"/>
  <c r="I189" i="1"/>
  <c r="I188" i="1"/>
  <c r="I187" i="1"/>
  <c r="I186" i="1"/>
  <c r="I185" i="1"/>
  <c r="I184" i="1"/>
  <c r="I183" i="1"/>
  <c r="I182" i="1"/>
  <c r="I181" i="1"/>
  <c r="I180" i="1"/>
  <c r="I179" i="1"/>
  <c r="I178" i="1"/>
  <c r="I177" i="1"/>
  <c r="I176" i="1"/>
  <c r="I175" i="1"/>
  <c r="I174" i="1"/>
  <c r="I173" i="1"/>
  <c r="I172" i="1"/>
  <c r="I171" i="1"/>
  <c r="I170" i="1"/>
  <c r="I169" i="1"/>
  <c r="I168" i="1"/>
  <c r="I167" i="1"/>
  <c r="I166" i="1"/>
  <c r="I165" i="1"/>
  <c r="I164" i="1"/>
  <c r="I163" i="1"/>
  <c r="I162" i="1"/>
  <c r="I161" i="1"/>
  <c r="I160" i="1"/>
  <c r="I159" i="1"/>
  <c r="I158" i="1"/>
  <c r="I157" i="1"/>
  <c r="I156" i="1"/>
  <c r="I155" i="1"/>
  <c r="I154" i="1"/>
  <c r="I153" i="1"/>
  <c r="I152" i="1"/>
  <c r="I151" i="1"/>
  <c r="I150" i="1"/>
  <c r="I149" i="1"/>
  <c r="I148" i="1"/>
  <c r="I147" i="1"/>
  <c r="I146" i="1"/>
  <c r="I145" i="1"/>
  <c r="I144" i="1"/>
  <c r="I143" i="1"/>
  <c r="I142" i="1"/>
  <c r="I141" i="1"/>
  <c r="I140" i="1"/>
  <c r="I139" i="1"/>
  <c r="I138" i="1"/>
  <c r="I137" i="1"/>
  <c r="I136" i="1"/>
  <c r="I135" i="1"/>
  <c r="I134" i="1"/>
  <c r="I133" i="1"/>
  <c r="I132" i="1"/>
  <c r="I131" i="1"/>
  <c r="I130" i="1"/>
  <c r="I129" i="1"/>
  <c r="I128" i="1"/>
  <c r="I127" i="1"/>
  <c r="I126" i="1"/>
  <c r="I125" i="1"/>
  <c r="I124" i="1"/>
  <c r="I123" i="1"/>
  <c r="I122" i="1"/>
  <c r="I121" i="1"/>
  <c r="I120" i="1"/>
  <c r="I119" i="1"/>
  <c r="I118" i="1"/>
  <c r="I117" i="1"/>
  <c r="I116" i="1"/>
  <c r="I115" i="1"/>
  <c r="I114" i="1"/>
  <c r="I113" i="1"/>
  <c r="I112" i="1"/>
  <c r="I111" i="1"/>
  <c r="I110" i="1"/>
  <c r="I109" i="1"/>
  <c r="I108" i="1"/>
  <c r="I107" i="1"/>
  <c r="I106" i="1"/>
  <c r="I105" i="1"/>
  <c r="I104" i="1"/>
  <c r="I103" i="1"/>
  <c r="I102" i="1"/>
  <c r="I101" i="1"/>
  <c r="I100" i="1"/>
  <c r="I99" i="1"/>
  <c r="I98" i="1"/>
  <c r="I97" i="1"/>
  <c r="I96" i="1"/>
  <c r="I95" i="1"/>
  <c r="I94" i="1"/>
  <c r="I93" i="1"/>
  <c r="I92" i="1"/>
  <c r="I91" i="1"/>
  <c r="I90" i="1"/>
  <c r="I89" i="1"/>
  <c r="I88" i="1"/>
  <c r="I87" i="1"/>
  <c r="I86" i="1"/>
  <c r="I85" i="1"/>
  <c r="I84" i="1"/>
  <c r="I83" i="1"/>
  <c r="I82" i="1"/>
  <c r="I81" i="1"/>
  <c r="I80" i="1"/>
  <c r="I79" i="1"/>
  <c r="I78" i="1"/>
  <c r="I77" i="1"/>
  <c r="I76" i="1"/>
  <c r="I75" i="1"/>
  <c r="I74" i="1"/>
  <c r="I73" i="1"/>
  <c r="I72" i="1"/>
  <c r="I71" i="1"/>
  <c r="I70" i="1"/>
  <c r="I69" i="1"/>
  <c r="I68" i="1"/>
  <c r="I67" i="1"/>
  <c r="I66" i="1"/>
  <c r="I65" i="1"/>
  <c r="I64" i="1"/>
  <c r="I63" i="1"/>
  <c r="I62" i="1"/>
  <c r="I61" i="1"/>
  <c r="I60" i="1"/>
  <c r="I59" i="1"/>
  <c r="I58" i="1"/>
  <c r="I57" i="1"/>
  <c r="I56" i="1"/>
  <c r="I55" i="1"/>
  <c r="I54" i="1"/>
  <c r="I53" i="1"/>
  <c r="I52" i="1"/>
  <c r="I51" i="1"/>
  <c r="I50" i="1"/>
  <c r="I49" i="1"/>
  <c r="I48" i="1"/>
  <c r="I47" i="1"/>
  <c r="I46" i="1"/>
  <c r="I45" i="1"/>
  <c r="I44" i="1"/>
  <c r="I43" i="1"/>
  <c r="I42" i="1"/>
  <c r="I41" i="1"/>
  <c r="I40" i="1"/>
  <c r="I39" i="1"/>
  <c r="I38" i="1"/>
  <c r="I37" i="1"/>
  <c r="I36" i="1"/>
  <c r="I35" i="1"/>
  <c r="I34" i="1"/>
  <c r="I33" i="1"/>
  <c r="I32" i="1"/>
  <c r="I31" i="1"/>
  <c r="I30" i="1"/>
  <c r="I29" i="1"/>
  <c r="I28" i="1"/>
  <c r="I27" i="1"/>
  <c r="I26" i="1"/>
  <c r="I25" i="1"/>
  <c r="I24" i="1"/>
  <c r="I23" i="1"/>
  <c r="I22" i="1"/>
  <c r="I21" i="1"/>
  <c r="I20" i="1"/>
  <c r="I19" i="1"/>
  <c r="I18" i="1"/>
  <c r="I17" i="1"/>
  <c r="I16" i="1"/>
  <c r="I15" i="1"/>
  <c r="I14" i="1"/>
  <c r="I13" i="1"/>
  <c r="I12" i="1"/>
  <c r="I11" i="1"/>
  <c r="I10" i="1"/>
  <c r="I9" i="1"/>
  <c r="I8" i="1"/>
  <c r="I7" i="1"/>
  <c r="I6" i="1"/>
  <c r="I5" i="1"/>
  <c r="I4" i="1"/>
  <c r="I3" i="1"/>
  <c r="I2" i="1"/>
</calcChain>
</file>

<file path=xl/sharedStrings.xml><?xml version="1.0" encoding="utf-8"?>
<sst xmlns="http://schemas.openxmlformats.org/spreadsheetml/2006/main" count="5071" uniqueCount="33">
  <si>
    <t>Gender</t>
  </si>
  <si>
    <t>Branch</t>
  </si>
  <si>
    <t>City</t>
  </si>
  <si>
    <t>Customer type</t>
  </si>
  <si>
    <t>Product line</t>
  </si>
  <si>
    <t>Unit price</t>
  </si>
  <si>
    <t>Quantity</t>
  </si>
  <si>
    <t>Tax 5%</t>
  </si>
  <si>
    <t>Sales</t>
  </si>
  <si>
    <t>Revenue</t>
  </si>
  <si>
    <t>Female</t>
  </si>
  <si>
    <t>A</t>
  </si>
  <si>
    <t>Yangon</t>
  </si>
  <si>
    <t>Member</t>
  </si>
  <si>
    <t>Health and beauty</t>
  </si>
  <si>
    <t>C</t>
  </si>
  <si>
    <t>Naypyitaw</t>
  </si>
  <si>
    <t>Normal</t>
  </si>
  <si>
    <t>Electronic accessories</t>
  </si>
  <si>
    <t>Home and lifestyle</t>
  </si>
  <si>
    <t>B</t>
  </si>
  <si>
    <t>Mandalay</t>
  </si>
  <si>
    <t>Food and beverages</t>
  </si>
  <si>
    <t>Fashion accessories</t>
  </si>
  <si>
    <t>Sports and travel</t>
  </si>
  <si>
    <t>Male</t>
  </si>
  <si>
    <t>Row Labels</t>
  </si>
  <si>
    <t>Grand Total</t>
  </si>
  <si>
    <t>Sum of Revenue</t>
  </si>
  <si>
    <t>Column Labels</t>
  </si>
  <si>
    <t>Total Revenue</t>
  </si>
  <si>
    <t>Total Sales</t>
  </si>
  <si>
    <t>SuperMarket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</si>
</sst>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3" x14ac:knownFonts="1">
    <font>
      <sz val="11"/>
      <color theme="1"/>
      <name val="Calibri"/>
      <family val="2"/>
      <scheme val="minor"/>
    </font>
    <font>
      <b/>
      <sz val="14"/>
      <color theme="1"/>
      <name val="Times New Roman"/>
      <family val="1"/>
    </font>
    <font>
      <b/>
      <sz val="16"/>
      <color theme="1"/>
      <name val="Times New Roman"/>
      <family val="1"/>
    </font>
  </fonts>
  <fills count="4">
    <fill>
      <patternFill patternType="none"/>
    </fill>
    <fill>
      <patternFill patternType="gray125"/>
    </fill>
    <fill>
      <patternFill patternType="solid">
        <fgColor theme="2" tint="-9.9978637043366805E-2"/>
        <bgColor indexed="64"/>
      </patternFill>
    </fill>
    <fill>
      <patternFill patternType="solid">
        <fgColor theme="2" tint="-0.249977111117893"/>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pivotButton="1"/>
    <xf numFmtId="0" fontId="0" fillId="0" borderId="0" xfId="0" applyAlignment="1">
      <alignment horizontal="left"/>
    </xf>
    <xf numFmtId="10" fontId="0" fillId="0" borderId="0" xfId="0" applyNumberFormat="1"/>
    <xf numFmtId="164" fontId="0" fillId="0" borderId="0" xfId="0" applyNumberFormat="1"/>
    <xf numFmtId="0" fontId="0" fillId="2" borderId="0" xfId="0" applyFill="1"/>
    <xf numFmtId="0" fontId="0" fillId="2" borderId="0" xfId="0" applyFill="1" applyAlignment="1">
      <alignment vertical="center"/>
    </xf>
    <xf numFmtId="0" fontId="0" fillId="3" borderId="0" xfId="0" applyFill="1"/>
    <xf numFmtId="0" fontId="2" fillId="2" borderId="0" xfId="0" applyFont="1" applyFill="1" applyAlignment="1">
      <alignment horizontal="center" vertical="center"/>
    </xf>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 DASHBOARD WORK.xlsx]Pivot Table!PivotTable2</c:name>
    <c:fmtId val="7"/>
  </c:pivotSource>
  <c:chart>
    <c:title>
      <c:tx>
        <c:rich>
          <a:bodyPr rot="0" spcFirstLastPara="1" vertOverflow="ellipsis" vert="horz" wrap="square" anchor="ctr" anchorCtr="1"/>
          <a:lstStyle/>
          <a:p>
            <a:pPr>
              <a:defRPr sz="1000" b="1" i="0" u="none" strike="noStrike" kern="1200" spc="0" baseline="0">
                <a:solidFill>
                  <a:schemeClr val="tx1">
                    <a:lumMod val="65000"/>
                    <a:lumOff val="35000"/>
                  </a:schemeClr>
                </a:solidFill>
                <a:latin typeface="+mn-lt"/>
                <a:ea typeface="+mn-ea"/>
                <a:cs typeface="+mn-cs"/>
              </a:defRPr>
            </a:pPr>
            <a:r>
              <a:rPr lang="en-US" sz="1000" b="1">
                <a:latin typeface="Times New Roman" panose="02020603050405020304" pitchFamily="18" charset="0"/>
                <a:cs typeface="Times New Roman" panose="02020603050405020304" pitchFamily="18" charset="0"/>
              </a:rPr>
              <a:t>Percentage</a:t>
            </a:r>
            <a:r>
              <a:rPr lang="en-US" sz="1000" b="1" baseline="0">
                <a:latin typeface="Times New Roman" panose="02020603050405020304" pitchFamily="18" charset="0"/>
                <a:cs typeface="Times New Roman" panose="02020603050405020304" pitchFamily="18" charset="0"/>
              </a:rPr>
              <a:t> of revenue by city</a:t>
            </a:r>
            <a:endParaRPr lang="en-US" sz="1000" b="1">
              <a:latin typeface="Times New Roman" panose="02020603050405020304" pitchFamily="18" charset="0"/>
              <a:cs typeface="Times New Roman" panose="02020603050405020304" pitchFamily="18" charset="0"/>
            </a:endParaRPr>
          </a:p>
        </c:rich>
      </c:tx>
      <c:layout>
        <c:manualLayout>
          <c:xMode val="edge"/>
          <c:yMode val="edge"/>
          <c:x val="0.12135337364597382"/>
          <c:y val="4.633204633204633E-2"/>
        </c:manualLayout>
      </c:layout>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separator> </c:separator>
          <c:extLst>
            <c:ext xmlns:c15="http://schemas.microsoft.com/office/drawing/2012/chart" uri="{CE6537A1-D6FC-4f65-9D91-7224C49458BB}"/>
          </c:extLst>
        </c:dLbl>
      </c:pivotFmt>
      <c:pivotFmt>
        <c:idx val="17"/>
        <c:spPr>
          <a:solidFill>
            <a:srgbClr val="FF0000"/>
          </a:solidFill>
          <a:ln w="19050">
            <a:solidFill>
              <a:schemeClr val="lt1"/>
            </a:solidFill>
          </a:ln>
          <a:effectLst/>
        </c:spPr>
        <c:dLbl>
          <c:idx val="0"/>
          <c:layout>
            <c:manualLayout>
              <c:x val="0.25464871449079912"/>
              <c:y val="-3.87255647098166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separator> </c:separator>
          <c:extLst>
            <c:ext xmlns:c15="http://schemas.microsoft.com/office/drawing/2012/chart" uri="{CE6537A1-D6FC-4f65-9D91-7224C49458BB}"/>
          </c:extLst>
        </c:dLbl>
      </c:pivotFmt>
      <c:pivotFmt>
        <c:idx val="18"/>
        <c:spPr>
          <a:solidFill>
            <a:schemeClr val="tx1"/>
          </a:solidFill>
          <a:ln w="19050">
            <a:solidFill>
              <a:schemeClr val="lt1"/>
            </a:solidFill>
          </a:ln>
          <a:effectLst/>
        </c:spPr>
        <c:dLbl>
          <c:idx val="0"/>
          <c:layout>
            <c:manualLayout>
              <c:x val="-6.5058511332492276E-4"/>
              <c:y val="6.7687349892074297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19"/>
        <c:spPr>
          <a:solidFill>
            <a:schemeClr val="accent3"/>
          </a:solidFill>
          <a:ln w="19050">
            <a:solidFill>
              <a:schemeClr val="lt1"/>
            </a:solidFill>
          </a:ln>
          <a:effectLst/>
        </c:spPr>
        <c:dLbl>
          <c:idx val="0"/>
          <c:layout>
            <c:manualLayout>
              <c:x val="2.2049419236960022E-2"/>
              <c:y val="0.121723771015109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separator> </c:separator>
          <c:extLst>
            <c:ext xmlns:c15="http://schemas.microsoft.com/office/drawing/2012/chart" uri="{CE6537A1-D6FC-4f65-9D91-7224C49458BB}"/>
          </c:extLst>
        </c:dLbl>
      </c:pivotFmt>
    </c:pivotFmts>
    <c:plotArea>
      <c:layout>
        <c:manualLayout>
          <c:layoutTarget val="inner"/>
          <c:xMode val="edge"/>
          <c:yMode val="edge"/>
          <c:x val="0.27977770043937877"/>
          <c:y val="0.33844769403824521"/>
          <c:w val="0.44569626310523347"/>
          <c:h val="0.62294226735171621"/>
        </c:manualLayout>
      </c:layout>
      <c:pieChart>
        <c:varyColors val="1"/>
        <c:ser>
          <c:idx val="0"/>
          <c:order val="0"/>
          <c:tx>
            <c:strRef>
              <c:f>'Pivot Table'!$B$9</c:f>
              <c:strCache>
                <c:ptCount val="1"/>
                <c:pt idx="0">
                  <c:v>Total</c:v>
                </c:pt>
              </c:strCache>
            </c:strRef>
          </c:tx>
          <c:dPt>
            <c:idx val="0"/>
            <c:bubble3D val="0"/>
            <c:spPr>
              <a:solidFill>
                <a:srgbClr val="FF0000"/>
              </a:solidFill>
              <a:ln w="19050">
                <a:solidFill>
                  <a:schemeClr val="lt1"/>
                </a:solidFill>
              </a:ln>
              <a:effectLst/>
            </c:spPr>
            <c:extLst>
              <c:ext xmlns:c16="http://schemas.microsoft.com/office/drawing/2014/chart" uri="{C3380CC4-5D6E-409C-BE32-E72D297353CC}">
                <c16:uniqueId val="{00000001-3C9A-4106-A31B-BCD955301565}"/>
              </c:ext>
            </c:extLst>
          </c:dPt>
          <c:dPt>
            <c:idx val="1"/>
            <c:bubble3D val="0"/>
            <c:explosion val="18"/>
            <c:spPr>
              <a:solidFill>
                <a:schemeClr val="tx1"/>
              </a:solidFill>
              <a:ln w="19050">
                <a:solidFill>
                  <a:schemeClr val="lt1"/>
                </a:solidFill>
              </a:ln>
              <a:effectLst/>
            </c:spPr>
            <c:extLst>
              <c:ext xmlns:c16="http://schemas.microsoft.com/office/drawing/2014/chart" uri="{C3380CC4-5D6E-409C-BE32-E72D297353CC}">
                <c16:uniqueId val="{00000003-3C9A-4106-A31B-BCD95530156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C9A-4106-A31B-BCD955301565}"/>
              </c:ext>
            </c:extLst>
          </c:dPt>
          <c:dLbls>
            <c:dLbl>
              <c:idx val="0"/>
              <c:layout>
                <c:manualLayout>
                  <c:x val="0.25464871449079912"/>
                  <c:y val="-3.8725564709816682E-2"/>
                </c:manualLayout>
              </c:layout>
              <c:dLblPos val="bestFi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3C9A-4106-A31B-BCD955301565}"/>
                </c:ext>
              </c:extLst>
            </c:dLbl>
            <c:dLbl>
              <c:idx val="1"/>
              <c:layout>
                <c:manualLayout>
                  <c:x val="-6.5058511332492276E-4"/>
                  <c:y val="6.7687349892074297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3-3C9A-4106-A31B-BCD955301565}"/>
                </c:ext>
              </c:extLst>
            </c:dLbl>
            <c:dLbl>
              <c:idx val="2"/>
              <c:layout>
                <c:manualLayout>
                  <c:x val="2.2049419236960022E-2"/>
                  <c:y val="0.1217237710151096"/>
                </c:manualLayout>
              </c:layout>
              <c:dLblPos val="bestFi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3C9A-4106-A31B-BCD95530156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Table'!$A$10:$A$13</c:f>
              <c:strCache>
                <c:ptCount val="3"/>
                <c:pt idx="0">
                  <c:v>Mandalay</c:v>
                </c:pt>
                <c:pt idx="1">
                  <c:v>Naypyitaw</c:v>
                </c:pt>
                <c:pt idx="2">
                  <c:v>Yangon</c:v>
                </c:pt>
              </c:strCache>
            </c:strRef>
          </c:cat>
          <c:val>
            <c:numRef>
              <c:f>'Pivot Table'!$B$10:$B$13</c:f>
              <c:numCache>
                <c:formatCode>0.00%</c:formatCode>
                <c:ptCount val="3"/>
                <c:pt idx="0">
                  <c:v>0.32370160787318714</c:v>
                </c:pt>
                <c:pt idx="1">
                  <c:v>0.34523906437038571</c:v>
                </c:pt>
                <c:pt idx="2">
                  <c:v>0.33105932775642716</c:v>
                </c:pt>
              </c:numCache>
            </c:numRef>
          </c:val>
          <c:extLst>
            <c:ext xmlns:c16="http://schemas.microsoft.com/office/drawing/2014/chart" uri="{C3380CC4-5D6E-409C-BE32-E72D297353CC}">
              <c16:uniqueId val="{00000006-3C9A-4106-A31B-BCD955301565}"/>
            </c:ext>
          </c:extLst>
        </c:ser>
        <c:dLbls>
          <c:dLblPos val="bestFit"/>
          <c:showLegendKey val="0"/>
          <c:showVal val="1"/>
          <c:showCatName val="0"/>
          <c:showSerName val="0"/>
          <c:showPercent val="0"/>
          <c:showBubbleSize val="0"/>
          <c:showLeaderLines val="1"/>
        </c:dLbls>
        <c:firstSliceAng val="120"/>
      </c:pieChart>
      <c:spPr>
        <a:noFill/>
        <a:ln>
          <a:noFill/>
        </a:ln>
        <a:effectLst/>
      </c:spPr>
    </c:plotArea>
    <c:legend>
      <c:legendPos val="r"/>
      <c:legendEntry>
        <c:idx val="1"/>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Entry>
      <c:layout>
        <c:manualLayout>
          <c:xMode val="edge"/>
          <c:yMode val="edge"/>
          <c:x val="1.9782076848748997E-2"/>
          <c:y val="0.15318396011309396"/>
          <c:w val="0.74886631574368123"/>
          <c:h val="0.21416464965225651"/>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 DASHBOARD WORK.xlsx]Pivot Table!PivotTable5</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latin typeface="Times New Roman" panose="02020603050405020304" pitchFamily="18" charset="0"/>
                <a:cs typeface="Times New Roman" panose="02020603050405020304" pitchFamily="18" charset="0"/>
              </a:rPr>
              <a:t>Total</a:t>
            </a:r>
            <a:r>
              <a:rPr lang="en-US" sz="1000" b="1" baseline="0">
                <a:latin typeface="Times New Roman" panose="02020603050405020304" pitchFamily="18" charset="0"/>
                <a:cs typeface="Times New Roman" panose="02020603050405020304" pitchFamily="18" charset="0"/>
              </a:rPr>
              <a:t> Revenue By Gender and Product Line</a:t>
            </a:r>
            <a:endParaRPr lang="en-US" sz="1000"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tx1"/>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2548919483705528"/>
                  <c:h val="6.923624172846965E-2"/>
                </c:manualLayout>
              </c15:layout>
            </c:ext>
          </c:extLst>
        </c:dLbl>
      </c:pivotFmt>
      <c:pivotFmt>
        <c:idx val="11"/>
        <c:spPr>
          <a:solidFill>
            <a:schemeClr val="bg2">
              <a:lumMod val="75000"/>
            </a:schemeClr>
          </a:solidFill>
          <a:ln>
            <a:noFill/>
          </a:ln>
          <a:effectLst/>
        </c:spPr>
        <c:dLbl>
          <c:idx val="0"/>
          <c:layout>
            <c:manualLayout>
              <c:x val="0"/>
              <c:y val="2.475368137918936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tx1"/>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2548919483705528"/>
                  <c:h val="7.4186978004307527E-2"/>
                </c:manualLayout>
              </c15:layout>
            </c:ext>
          </c:extLst>
        </c:dLbl>
      </c:pivotFmt>
      <c:pivotFmt>
        <c:idx val="13"/>
        <c:spPr>
          <a:solidFill>
            <a:schemeClr val="bg2">
              <a:lumMod val="75000"/>
            </a:schemeClr>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5016054415727495"/>
                  <c:h val="0.15834949469355136"/>
                </c:manualLayout>
              </c15:layout>
            </c:ext>
          </c:extLst>
        </c:dLbl>
      </c:pivotFmt>
    </c:pivotFmts>
    <c:plotArea>
      <c:layout>
        <c:manualLayout>
          <c:layoutTarget val="inner"/>
          <c:xMode val="edge"/>
          <c:yMode val="edge"/>
          <c:x val="5.0051479587164237E-2"/>
          <c:y val="0.16700080888013955"/>
          <c:w val="0.90795172297044147"/>
          <c:h val="0.68852033407724322"/>
        </c:manualLayout>
      </c:layout>
      <c:barChart>
        <c:barDir val="col"/>
        <c:grouping val="clustered"/>
        <c:varyColors val="0"/>
        <c:ser>
          <c:idx val="0"/>
          <c:order val="0"/>
          <c:tx>
            <c:strRef>
              <c:f>'Pivot Table'!$B$27:$B$28</c:f>
              <c:strCache>
                <c:ptCount val="1"/>
                <c:pt idx="0">
                  <c:v>Female</c:v>
                </c:pt>
              </c:strCache>
            </c:strRef>
          </c:tx>
          <c:spPr>
            <a:solidFill>
              <a:schemeClr val="tx1"/>
            </a:solidFill>
            <a:ln>
              <a:noFill/>
            </a:ln>
            <a:effectLst/>
          </c:spPr>
          <c:invertIfNegative val="0"/>
          <c:dPt>
            <c:idx val="3"/>
            <c:invertIfNegative val="0"/>
            <c:bubble3D val="0"/>
            <c:spPr>
              <a:solidFill>
                <a:schemeClr val="tx1"/>
              </a:solidFill>
              <a:ln>
                <a:noFill/>
              </a:ln>
              <a:effectLst/>
            </c:spPr>
            <c:extLst>
              <c:ext xmlns:c16="http://schemas.microsoft.com/office/drawing/2014/chart" uri="{C3380CC4-5D6E-409C-BE32-E72D297353CC}">
                <c16:uniqueId val="{00000002-4E5B-4F8D-92A4-EF1F4FFD0F55}"/>
              </c:ext>
            </c:extLst>
          </c:dPt>
          <c:dPt>
            <c:idx val="4"/>
            <c:invertIfNegative val="0"/>
            <c:bubble3D val="0"/>
            <c:spPr>
              <a:solidFill>
                <a:schemeClr val="tx1"/>
              </a:solidFill>
              <a:ln>
                <a:noFill/>
              </a:ln>
              <a:effectLst/>
            </c:spPr>
            <c:extLst>
              <c:ext xmlns:c16="http://schemas.microsoft.com/office/drawing/2014/chart" uri="{C3380CC4-5D6E-409C-BE32-E72D297353CC}">
                <c16:uniqueId val="{00000004-4E5B-4F8D-92A4-EF1F4FFD0F55}"/>
              </c:ext>
            </c:extLst>
          </c:dPt>
          <c:dLbls>
            <c:dLbl>
              <c:idx val="3"/>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2548919483705528"/>
                      <c:h val="6.923624172846965E-2"/>
                    </c:manualLayout>
                  </c15:layout>
                </c:ext>
                <c:ext xmlns:c16="http://schemas.microsoft.com/office/drawing/2014/chart" uri="{C3380CC4-5D6E-409C-BE32-E72D297353CC}">
                  <c16:uniqueId val="{00000002-4E5B-4F8D-92A4-EF1F4FFD0F55}"/>
                </c:ext>
              </c:extLst>
            </c:dLbl>
            <c:dLbl>
              <c:idx val="4"/>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2548919483705528"/>
                      <c:h val="7.4186978004307527E-2"/>
                    </c:manualLayout>
                  </c15:layout>
                </c:ext>
                <c:ext xmlns:c16="http://schemas.microsoft.com/office/drawing/2014/chart" uri="{C3380CC4-5D6E-409C-BE32-E72D297353CC}">
                  <c16:uniqueId val="{00000004-4E5B-4F8D-92A4-EF1F4FFD0F5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Table'!$A$29:$A$35</c:f>
              <c:strCache>
                <c:ptCount val="6"/>
                <c:pt idx="0">
                  <c:v>Food and beverages</c:v>
                </c:pt>
                <c:pt idx="1">
                  <c:v>Fashion accessories</c:v>
                </c:pt>
                <c:pt idx="2">
                  <c:v>Home and lifestyle</c:v>
                </c:pt>
                <c:pt idx="3">
                  <c:v>Sports and travel</c:v>
                </c:pt>
                <c:pt idx="4">
                  <c:v>Electronic accessories</c:v>
                </c:pt>
                <c:pt idx="5">
                  <c:v>Health and beauty</c:v>
                </c:pt>
              </c:strCache>
            </c:strRef>
          </c:cat>
          <c:val>
            <c:numRef>
              <c:f>'Pivot Table'!$B$29:$B$35</c:f>
              <c:numCache>
                <c:formatCode>"$"#,##0</c:formatCode>
                <c:ptCount val="6"/>
                <c:pt idx="0">
                  <c:v>34919.487999999998</c:v>
                </c:pt>
                <c:pt idx="1">
                  <c:v>34430.9755</c:v>
                </c:pt>
                <c:pt idx="2">
                  <c:v>32458.09350000001</c:v>
                </c:pt>
                <c:pt idx="3">
                  <c:v>31059.773999999994</c:v>
                </c:pt>
                <c:pt idx="4">
                  <c:v>28753.815000000002</c:v>
                </c:pt>
                <c:pt idx="5">
                  <c:v>20955.967499999999</c:v>
                </c:pt>
              </c:numCache>
            </c:numRef>
          </c:val>
          <c:extLst>
            <c:ext xmlns:c16="http://schemas.microsoft.com/office/drawing/2014/chart" uri="{C3380CC4-5D6E-409C-BE32-E72D297353CC}">
              <c16:uniqueId val="{00000000-35E0-4C07-BA10-1913AB315522}"/>
            </c:ext>
          </c:extLst>
        </c:ser>
        <c:ser>
          <c:idx val="1"/>
          <c:order val="1"/>
          <c:tx>
            <c:strRef>
              <c:f>'Pivot Table'!$C$27:$C$28</c:f>
              <c:strCache>
                <c:ptCount val="1"/>
                <c:pt idx="0">
                  <c:v>Male</c:v>
                </c:pt>
              </c:strCache>
            </c:strRef>
          </c:tx>
          <c:spPr>
            <a:solidFill>
              <a:schemeClr val="bg2">
                <a:lumMod val="75000"/>
              </a:schemeClr>
            </a:solidFill>
            <a:ln>
              <a:noFill/>
            </a:ln>
            <a:effectLst/>
          </c:spPr>
          <c:invertIfNegative val="0"/>
          <c:dPt>
            <c:idx val="3"/>
            <c:invertIfNegative val="0"/>
            <c:bubble3D val="0"/>
            <c:spPr>
              <a:solidFill>
                <a:schemeClr val="bg2">
                  <a:lumMod val="75000"/>
                </a:schemeClr>
              </a:solidFill>
              <a:ln>
                <a:noFill/>
              </a:ln>
              <a:effectLst/>
            </c:spPr>
            <c:extLst>
              <c:ext xmlns:c16="http://schemas.microsoft.com/office/drawing/2014/chart" uri="{C3380CC4-5D6E-409C-BE32-E72D297353CC}">
                <c16:uniqueId val="{00000005-BA0F-43CA-8AD7-F443857A36E0}"/>
              </c:ext>
            </c:extLst>
          </c:dPt>
          <c:dPt>
            <c:idx val="4"/>
            <c:invertIfNegative val="0"/>
            <c:bubble3D val="0"/>
            <c:spPr>
              <a:solidFill>
                <a:schemeClr val="bg2">
                  <a:lumMod val="75000"/>
                </a:schemeClr>
              </a:solidFill>
              <a:ln>
                <a:noFill/>
              </a:ln>
              <a:effectLst/>
            </c:spPr>
            <c:extLst>
              <c:ext xmlns:c16="http://schemas.microsoft.com/office/drawing/2014/chart" uri="{C3380CC4-5D6E-409C-BE32-E72D297353CC}">
                <c16:uniqueId val="{00000007-BA0F-43CA-8AD7-F443857A36E0}"/>
              </c:ext>
            </c:extLst>
          </c:dPt>
          <c:dLbls>
            <c:dLbl>
              <c:idx val="3"/>
              <c:layout>
                <c:manualLayout>
                  <c:x val="0"/>
                  <c:y val="2.475368137918936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A0F-43CA-8AD7-F443857A36E0}"/>
                </c:ext>
              </c:extLst>
            </c:dLbl>
            <c:dLbl>
              <c:idx val="4"/>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5016054415727495"/>
                      <c:h val="0.15834949469355136"/>
                    </c:manualLayout>
                  </c15:layout>
                </c:ext>
                <c:ext xmlns:c16="http://schemas.microsoft.com/office/drawing/2014/chart" uri="{C3380CC4-5D6E-409C-BE32-E72D297353CC}">
                  <c16:uniqueId val="{00000007-BA0F-43CA-8AD7-F443857A36E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Table'!$A$29:$A$35</c:f>
              <c:strCache>
                <c:ptCount val="6"/>
                <c:pt idx="0">
                  <c:v>Food and beverages</c:v>
                </c:pt>
                <c:pt idx="1">
                  <c:v>Fashion accessories</c:v>
                </c:pt>
                <c:pt idx="2">
                  <c:v>Home and lifestyle</c:v>
                </c:pt>
                <c:pt idx="3">
                  <c:v>Sports and travel</c:v>
                </c:pt>
                <c:pt idx="4">
                  <c:v>Electronic accessories</c:v>
                </c:pt>
                <c:pt idx="5">
                  <c:v>Health and beauty</c:v>
                </c:pt>
              </c:strCache>
            </c:strRef>
          </c:cat>
          <c:val>
            <c:numRef>
              <c:f>'Pivot Table'!$C$29:$C$35</c:f>
              <c:numCache>
                <c:formatCode>"$"#,##0</c:formatCode>
                <c:ptCount val="6"/>
                <c:pt idx="0">
                  <c:v>23898.941999999992</c:v>
                </c:pt>
                <c:pt idx="1">
                  <c:v>27624.901500000004</c:v>
                </c:pt>
                <c:pt idx="2">
                  <c:v>26490.182999999994</c:v>
                </c:pt>
                <c:pt idx="3">
                  <c:v>28919.448000000011</c:v>
                </c:pt>
                <c:pt idx="4">
                  <c:v>29199.848999999991</c:v>
                </c:pt>
                <c:pt idx="5">
                  <c:v>32787.334499999997</c:v>
                </c:pt>
              </c:numCache>
            </c:numRef>
          </c:val>
          <c:extLst>
            <c:ext xmlns:c16="http://schemas.microsoft.com/office/drawing/2014/chart" uri="{C3380CC4-5D6E-409C-BE32-E72D297353CC}">
              <c16:uniqueId val="{00000001-7AAD-4272-A5B3-031F5762114A}"/>
            </c:ext>
          </c:extLst>
        </c:ser>
        <c:dLbls>
          <c:dLblPos val="outEnd"/>
          <c:showLegendKey val="0"/>
          <c:showVal val="1"/>
          <c:showCatName val="0"/>
          <c:showSerName val="0"/>
          <c:showPercent val="0"/>
          <c:showBubbleSize val="0"/>
        </c:dLbls>
        <c:gapWidth val="219"/>
        <c:overlap val="-27"/>
        <c:axId val="403610800"/>
        <c:axId val="403611632"/>
      </c:barChart>
      <c:catAx>
        <c:axId val="4036108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3611632"/>
        <c:crosses val="autoZero"/>
        <c:auto val="1"/>
        <c:lblAlgn val="ctr"/>
        <c:lblOffset val="100"/>
        <c:noMultiLvlLbl val="0"/>
      </c:catAx>
      <c:valAx>
        <c:axId val="403611632"/>
        <c:scaling>
          <c:orientation val="minMax"/>
        </c:scaling>
        <c:delete val="1"/>
        <c:axPos val="l"/>
        <c:numFmt formatCode="&quot;$&quot;#,##0" sourceLinked="1"/>
        <c:majorTickMark val="out"/>
        <c:minorTickMark val="none"/>
        <c:tickLblPos val="nextTo"/>
        <c:crossAx val="403610800"/>
        <c:crosses val="autoZero"/>
        <c:crossBetween val="between"/>
      </c:valAx>
      <c:spPr>
        <a:noFill/>
        <a:ln>
          <a:noFill/>
        </a:ln>
        <a:effectLst/>
      </c:spPr>
    </c:plotArea>
    <c:legend>
      <c:legendPos val="r"/>
      <c:layout>
        <c:manualLayout>
          <c:xMode val="edge"/>
          <c:yMode val="edge"/>
          <c:x val="0.62464304248522906"/>
          <c:y val="0.10448626365594332"/>
          <c:w val="0.26962260328525794"/>
          <c:h val="9.049828965705432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 DASHBOARD WORK.xlsx]Pivot Table!PivotTable6</c:name>
    <c:fmtId val="4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latin typeface="Times New Roman" panose="02020603050405020304" pitchFamily="18" charset="0"/>
                <a:cs typeface="Times New Roman" panose="02020603050405020304" pitchFamily="18" charset="0"/>
              </a:rPr>
              <a:t>Total</a:t>
            </a:r>
            <a:r>
              <a:rPr lang="en-US" sz="1000" b="1" baseline="0">
                <a:latin typeface="Times New Roman" panose="02020603050405020304" pitchFamily="18" charset="0"/>
                <a:cs typeface="Times New Roman" panose="02020603050405020304" pitchFamily="18" charset="0"/>
              </a:rPr>
              <a:t> Revenue by Product Line and City</a:t>
            </a:r>
            <a:endParaRPr lang="en-US" sz="1000"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FF0000"/>
          </a:solidFill>
          <a:ln>
            <a:noFill/>
          </a:ln>
          <a:effectLst/>
        </c:spPr>
      </c:pivotFmt>
    </c:pivotFmts>
    <c:plotArea>
      <c:layout>
        <c:manualLayout>
          <c:layoutTarget val="inner"/>
          <c:xMode val="edge"/>
          <c:yMode val="edge"/>
          <c:x val="4.2066960242055154E-2"/>
          <c:y val="0.18275428086054357"/>
          <c:w val="0.95793303975794486"/>
          <c:h val="0.76291336537010568"/>
        </c:manualLayout>
      </c:layout>
      <c:barChart>
        <c:barDir val="bar"/>
        <c:grouping val="stacked"/>
        <c:varyColors val="0"/>
        <c:ser>
          <c:idx val="0"/>
          <c:order val="0"/>
          <c:tx>
            <c:strRef>
              <c:f>'Pivot Table'!$B$39:$B$40</c:f>
              <c:strCache>
                <c:ptCount val="1"/>
                <c:pt idx="0">
                  <c:v>Mandalay</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Table'!$A$41:$A$47</c:f>
              <c:strCache>
                <c:ptCount val="6"/>
                <c:pt idx="0">
                  <c:v>Health and beauty</c:v>
                </c:pt>
                <c:pt idx="1">
                  <c:v>Electronic accessories</c:v>
                </c:pt>
                <c:pt idx="2">
                  <c:v>Food and beverages</c:v>
                </c:pt>
                <c:pt idx="3">
                  <c:v>Home and lifestyle</c:v>
                </c:pt>
                <c:pt idx="4">
                  <c:v>Sports and travel</c:v>
                </c:pt>
                <c:pt idx="5">
                  <c:v>Fashion accessories</c:v>
                </c:pt>
              </c:strCache>
            </c:strRef>
          </c:cat>
          <c:val>
            <c:numRef>
              <c:f>'Pivot Table'!$B$41:$B$47</c:f>
              <c:numCache>
                <c:formatCode>"$"#,##0</c:formatCode>
                <c:ptCount val="6"/>
                <c:pt idx="0">
                  <c:v>22006.604999999996</c:v>
                </c:pt>
                <c:pt idx="1">
                  <c:v>18474.775499999996</c:v>
                </c:pt>
                <c:pt idx="2">
                  <c:v>16094.194</c:v>
                </c:pt>
                <c:pt idx="3">
                  <c:v>18494.272499999992</c:v>
                </c:pt>
                <c:pt idx="4">
                  <c:v>20830.491000000005</c:v>
                </c:pt>
                <c:pt idx="5">
                  <c:v>17880.379500000003</c:v>
                </c:pt>
              </c:numCache>
            </c:numRef>
          </c:val>
          <c:extLst>
            <c:ext xmlns:c16="http://schemas.microsoft.com/office/drawing/2014/chart" uri="{C3380CC4-5D6E-409C-BE32-E72D297353CC}">
              <c16:uniqueId val="{00000000-CBCE-4C9E-9D5B-7770273C7D52}"/>
            </c:ext>
          </c:extLst>
        </c:ser>
        <c:ser>
          <c:idx val="1"/>
          <c:order val="1"/>
          <c:tx>
            <c:strRef>
              <c:f>'Pivot Table'!$C$39:$C$40</c:f>
              <c:strCache>
                <c:ptCount val="1"/>
                <c:pt idx="0">
                  <c:v>Naypyitaw</c:v>
                </c:pt>
              </c:strCache>
            </c:strRef>
          </c:tx>
          <c:spPr>
            <a:solidFill>
              <a:schemeClr val="bg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Table'!$A$41:$A$47</c:f>
              <c:strCache>
                <c:ptCount val="6"/>
                <c:pt idx="0">
                  <c:v>Health and beauty</c:v>
                </c:pt>
                <c:pt idx="1">
                  <c:v>Electronic accessories</c:v>
                </c:pt>
                <c:pt idx="2">
                  <c:v>Food and beverages</c:v>
                </c:pt>
                <c:pt idx="3">
                  <c:v>Home and lifestyle</c:v>
                </c:pt>
                <c:pt idx="4">
                  <c:v>Sports and travel</c:v>
                </c:pt>
                <c:pt idx="5">
                  <c:v>Fashion accessories</c:v>
                </c:pt>
              </c:strCache>
            </c:strRef>
          </c:cat>
          <c:val>
            <c:numRef>
              <c:f>'Pivot Table'!$C$41:$C$47</c:f>
              <c:numCache>
                <c:formatCode>"$"#,##0</c:formatCode>
                <c:ptCount val="6"/>
                <c:pt idx="0">
                  <c:v>18013.075500000003</c:v>
                </c:pt>
                <c:pt idx="1">
                  <c:v>20685.368999999995</c:v>
                </c:pt>
                <c:pt idx="2">
                  <c:v>24751.113000000001</c:v>
                </c:pt>
                <c:pt idx="3">
                  <c:v>15436.226999999999</c:v>
                </c:pt>
                <c:pt idx="4">
                  <c:v>17262.898499999999</c:v>
                </c:pt>
                <c:pt idx="5">
                  <c:v>25202.423999999992</c:v>
                </c:pt>
              </c:numCache>
            </c:numRef>
          </c:val>
          <c:extLst>
            <c:ext xmlns:c16="http://schemas.microsoft.com/office/drawing/2014/chart" uri="{C3380CC4-5D6E-409C-BE32-E72D297353CC}">
              <c16:uniqueId val="{00000001-B1FE-4EBD-B022-AA32EE59E5A1}"/>
            </c:ext>
          </c:extLst>
        </c:ser>
        <c:ser>
          <c:idx val="2"/>
          <c:order val="2"/>
          <c:tx>
            <c:strRef>
              <c:f>'Pivot Table'!$D$39:$D$40</c:f>
              <c:strCache>
                <c:ptCount val="1"/>
                <c:pt idx="0">
                  <c:v>Yangon</c:v>
                </c:pt>
              </c:strCache>
            </c:strRef>
          </c:tx>
          <c:spPr>
            <a:solidFill>
              <a:schemeClr val="tx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Table'!$A$41:$A$47</c:f>
              <c:strCache>
                <c:ptCount val="6"/>
                <c:pt idx="0">
                  <c:v>Health and beauty</c:v>
                </c:pt>
                <c:pt idx="1">
                  <c:v>Electronic accessories</c:v>
                </c:pt>
                <c:pt idx="2">
                  <c:v>Food and beverages</c:v>
                </c:pt>
                <c:pt idx="3">
                  <c:v>Home and lifestyle</c:v>
                </c:pt>
                <c:pt idx="4">
                  <c:v>Sports and travel</c:v>
                </c:pt>
                <c:pt idx="5">
                  <c:v>Fashion accessories</c:v>
                </c:pt>
              </c:strCache>
            </c:strRef>
          </c:cat>
          <c:val>
            <c:numRef>
              <c:f>'Pivot Table'!$D$41:$D$47</c:f>
              <c:numCache>
                <c:formatCode>"$"#,##0</c:formatCode>
                <c:ptCount val="6"/>
                <c:pt idx="0">
                  <c:v>13723.621500000003</c:v>
                </c:pt>
                <c:pt idx="1">
                  <c:v>18793.519500000002</c:v>
                </c:pt>
                <c:pt idx="2">
                  <c:v>17973.122999999996</c:v>
                </c:pt>
                <c:pt idx="3">
                  <c:v>25017.777000000006</c:v>
                </c:pt>
                <c:pt idx="4">
                  <c:v>21885.832499999997</c:v>
                </c:pt>
                <c:pt idx="5">
                  <c:v>18973.073500000002</c:v>
                </c:pt>
              </c:numCache>
            </c:numRef>
          </c:val>
          <c:extLst>
            <c:ext xmlns:c16="http://schemas.microsoft.com/office/drawing/2014/chart" uri="{C3380CC4-5D6E-409C-BE32-E72D297353CC}">
              <c16:uniqueId val="{00000002-B1FE-4EBD-B022-AA32EE59E5A1}"/>
            </c:ext>
          </c:extLst>
        </c:ser>
        <c:dLbls>
          <c:showLegendKey val="0"/>
          <c:showVal val="0"/>
          <c:showCatName val="0"/>
          <c:showSerName val="0"/>
          <c:showPercent val="0"/>
          <c:showBubbleSize val="0"/>
        </c:dLbls>
        <c:gapWidth val="170"/>
        <c:overlap val="100"/>
        <c:axId val="1007931888"/>
        <c:axId val="1007932304"/>
      </c:barChart>
      <c:catAx>
        <c:axId val="1007931888"/>
        <c:scaling>
          <c:orientation val="minMax"/>
        </c:scaling>
        <c:delete val="1"/>
        <c:axPos val="l"/>
        <c:numFmt formatCode="General" sourceLinked="1"/>
        <c:majorTickMark val="none"/>
        <c:minorTickMark val="none"/>
        <c:tickLblPos val="nextTo"/>
        <c:crossAx val="1007932304"/>
        <c:crosses val="autoZero"/>
        <c:auto val="1"/>
        <c:lblAlgn val="ctr"/>
        <c:lblOffset val="100"/>
        <c:noMultiLvlLbl val="0"/>
      </c:catAx>
      <c:valAx>
        <c:axId val="1007932304"/>
        <c:scaling>
          <c:orientation val="minMax"/>
        </c:scaling>
        <c:delete val="1"/>
        <c:axPos val="b"/>
        <c:numFmt formatCode="&quot;$&quot;#,##0" sourceLinked="1"/>
        <c:majorTickMark val="none"/>
        <c:minorTickMark val="none"/>
        <c:tickLblPos val="nextTo"/>
        <c:crossAx val="1007931888"/>
        <c:crosses val="autoZero"/>
        <c:crossBetween val="between"/>
      </c:valAx>
      <c:spPr>
        <a:noFill/>
        <a:ln>
          <a:noFill/>
        </a:ln>
        <a:effectLst/>
      </c:spPr>
    </c:plotArea>
    <c:legend>
      <c:legendPos val="r"/>
      <c:layout>
        <c:manualLayout>
          <c:xMode val="edge"/>
          <c:yMode val="edge"/>
          <c:x val="0.47717754485536434"/>
          <c:y val="0.103311201098937"/>
          <c:w val="0.44772284347356855"/>
          <c:h val="8.5518035852352903E-2"/>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 DASHBOARD WORK.xlsx]Pivot Table!PivotTable7</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latin typeface="Times New Roman" panose="02020603050405020304" pitchFamily="18" charset="0"/>
                <a:cs typeface="Times New Roman" panose="02020603050405020304" pitchFamily="18" charset="0"/>
              </a:rPr>
              <a:t>Total</a:t>
            </a:r>
            <a:r>
              <a:rPr lang="en-US" sz="1000" b="1" baseline="0">
                <a:latin typeface="Times New Roman" panose="02020603050405020304" pitchFamily="18" charset="0"/>
                <a:cs typeface="Times New Roman" panose="02020603050405020304" pitchFamily="18" charset="0"/>
              </a:rPr>
              <a:t> Revenue by customer type</a:t>
            </a:r>
            <a:endParaRPr lang="en-US" sz="1000" b="1">
              <a:latin typeface="Times New Roman" panose="02020603050405020304" pitchFamily="18" charset="0"/>
              <a:cs typeface="Times New Roman" panose="02020603050405020304" pitchFamily="18" charset="0"/>
            </a:endParaRPr>
          </a:p>
        </c:rich>
      </c:tx>
      <c:layout>
        <c:manualLayout>
          <c:xMode val="edge"/>
          <c:yMode val="edge"/>
          <c:x val="0.24748271617363568"/>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11"/>
        <c:spPr>
          <a:solidFill>
            <a:schemeClr val="tx1"/>
          </a:solidFill>
          <a:ln w="19050">
            <a:solidFill>
              <a:schemeClr val="lt1"/>
            </a:solidFill>
          </a:ln>
          <a:effectLst/>
        </c:spPr>
        <c:dLbl>
          <c:idx val="0"/>
          <c:layout>
            <c:manualLayout>
              <c:x val="-0.17697993037437323"/>
              <c:y val="-3.1348736176935232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layout>
                <c:manualLayout>
                  <c:w val="0.24596721311475406"/>
                  <c:h val="0.11614654384017485"/>
                </c:manualLayout>
              </c15:layout>
            </c:ext>
          </c:extLst>
        </c:dLbl>
      </c:pivotFmt>
      <c:pivotFmt>
        <c:idx val="12"/>
        <c:spPr>
          <a:solidFill>
            <a:srgbClr val="FF0000"/>
          </a:solidFill>
          <a:ln w="19050">
            <a:solidFill>
              <a:schemeClr val="lt1"/>
            </a:solidFill>
          </a:ln>
          <a:effectLst/>
        </c:spPr>
        <c:dLbl>
          <c:idx val="0"/>
          <c:layout>
            <c:manualLayout>
              <c:x val="0.17698044650207342"/>
              <c:y val="5.486028830963665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layout>
                <c:manualLayout>
                  <c:w val="0.23940983606557378"/>
                  <c:h val="0.10838792367717054"/>
                </c:manualLayout>
              </c15:layout>
            </c:ext>
          </c:extLst>
        </c:dLbl>
      </c:pivotFmt>
    </c:pivotFmts>
    <c:plotArea>
      <c:layout>
        <c:manualLayout>
          <c:layoutTarget val="inner"/>
          <c:xMode val="edge"/>
          <c:yMode val="edge"/>
          <c:x val="0.23760248360649394"/>
          <c:y val="0.29866521030805682"/>
          <c:w val="0.53841151377673868"/>
          <c:h val="0.64374444609004744"/>
        </c:manualLayout>
      </c:layout>
      <c:doughnutChart>
        <c:varyColors val="1"/>
        <c:ser>
          <c:idx val="0"/>
          <c:order val="0"/>
          <c:tx>
            <c:strRef>
              <c:f>'Pivot Table'!$B$51</c:f>
              <c:strCache>
                <c:ptCount val="1"/>
                <c:pt idx="0">
                  <c:v>Total</c:v>
                </c:pt>
              </c:strCache>
            </c:strRef>
          </c:tx>
          <c:dPt>
            <c:idx val="0"/>
            <c:bubble3D val="0"/>
            <c:spPr>
              <a:solidFill>
                <a:schemeClr val="tx1"/>
              </a:solidFill>
              <a:ln w="19050">
                <a:solidFill>
                  <a:schemeClr val="lt1"/>
                </a:solidFill>
              </a:ln>
              <a:effectLst/>
            </c:spPr>
            <c:extLst>
              <c:ext xmlns:c16="http://schemas.microsoft.com/office/drawing/2014/chart" uri="{C3380CC4-5D6E-409C-BE32-E72D297353CC}">
                <c16:uniqueId val="{00000001-1849-4454-BEAA-724A0E2A4461}"/>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1849-4454-BEAA-724A0E2A4461}"/>
              </c:ext>
            </c:extLst>
          </c:dPt>
          <c:dLbls>
            <c:dLbl>
              <c:idx val="0"/>
              <c:layout>
                <c:manualLayout>
                  <c:x val="-0.17697993037437323"/>
                  <c:y val="-3.1348736176935232E-2"/>
                </c:manualLayout>
              </c:layout>
              <c:showLegendKey val="0"/>
              <c:showVal val="1"/>
              <c:showCatName val="0"/>
              <c:showSerName val="0"/>
              <c:showPercent val="0"/>
              <c:showBubbleSize val="0"/>
              <c:separator>
</c:separator>
              <c:extLst>
                <c:ext xmlns:c15="http://schemas.microsoft.com/office/drawing/2012/chart" uri="{CE6537A1-D6FC-4f65-9D91-7224C49458BB}">
                  <c15:layout>
                    <c:manualLayout>
                      <c:w val="0.24596721311475406"/>
                      <c:h val="0.11614654384017485"/>
                    </c:manualLayout>
                  </c15:layout>
                </c:ext>
                <c:ext xmlns:c16="http://schemas.microsoft.com/office/drawing/2014/chart" uri="{C3380CC4-5D6E-409C-BE32-E72D297353CC}">
                  <c16:uniqueId val="{00000001-1849-4454-BEAA-724A0E2A4461}"/>
                </c:ext>
              </c:extLst>
            </c:dLbl>
            <c:dLbl>
              <c:idx val="1"/>
              <c:layout>
                <c:manualLayout>
                  <c:x val="0.17698044650207342"/>
                  <c:y val="5.486028830963665E-2"/>
                </c:manualLayout>
              </c:layout>
              <c:showLegendKey val="0"/>
              <c:showVal val="1"/>
              <c:showCatName val="0"/>
              <c:showSerName val="0"/>
              <c:showPercent val="0"/>
              <c:showBubbleSize val="0"/>
              <c:separator> </c:separator>
              <c:extLst>
                <c:ext xmlns:c15="http://schemas.microsoft.com/office/drawing/2012/chart" uri="{CE6537A1-D6FC-4f65-9D91-7224C49458BB}">
                  <c15:layout>
                    <c:manualLayout>
                      <c:w val="0.23940983606557378"/>
                      <c:h val="0.10838792367717054"/>
                    </c:manualLayout>
                  </c15:layout>
                </c:ext>
                <c:ext xmlns:c16="http://schemas.microsoft.com/office/drawing/2014/chart" uri="{C3380CC4-5D6E-409C-BE32-E72D297353CC}">
                  <c16:uniqueId val="{00000003-1849-4454-BEAA-724A0E2A4461}"/>
                </c:ext>
              </c:extLst>
            </c:dLbl>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Table'!$A$52:$A$54</c:f>
              <c:strCache>
                <c:ptCount val="2"/>
                <c:pt idx="0">
                  <c:v>Member</c:v>
                </c:pt>
                <c:pt idx="1">
                  <c:v>Normal</c:v>
                </c:pt>
              </c:strCache>
            </c:strRef>
          </c:cat>
          <c:val>
            <c:numRef>
              <c:f>'Pivot Table'!$B$52:$B$54</c:f>
              <c:numCache>
                <c:formatCode>0.00%</c:formatCode>
                <c:ptCount val="2"/>
                <c:pt idx="0">
                  <c:v>0.50984079897417223</c:v>
                </c:pt>
                <c:pt idx="1">
                  <c:v>0.49015920102582777</c:v>
                </c:pt>
              </c:numCache>
            </c:numRef>
          </c:val>
          <c:extLst>
            <c:ext xmlns:c16="http://schemas.microsoft.com/office/drawing/2014/chart" uri="{C3380CC4-5D6E-409C-BE32-E72D297353CC}">
              <c16:uniqueId val="{00000004-1849-4454-BEAA-724A0E2A4461}"/>
            </c:ext>
          </c:extLst>
        </c:ser>
        <c:dLbls>
          <c:showLegendKey val="0"/>
          <c:showVal val="1"/>
          <c:showCatName val="0"/>
          <c:showSerName val="0"/>
          <c:showPercent val="0"/>
          <c:showBubbleSize val="0"/>
          <c:showLeaderLines val="1"/>
        </c:dLbls>
        <c:firstSliceAng val="220"/>
        <c:holeSize val="55"/>
      </c:doughnutChart>
      <c:spPr>
        <a:noFill/>
        <a:ln>
          <a:noFill/>
        </a:ln>
        <a:effectLst/>
      </c:spPr>
    </c:plotArea>
    <c:legend>
      <c:legendPos val="r"/>
      <c:layout>
        <c:manualLayout>
          <c:xMode val="edge"/>
          <c:yMode val="edge"/>
          <c:x val="5.2539410170470036E-2"/>
          <c:y val="0.15065183862326487"/>
          <c:w val="0.58255789337808184"/>
          <c:h val="0.13574045512352192"/>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 DASHBOARD WORK.xlsx]Pivot Table!PivotTable8</c:name>
    <c:fmtId val="3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latin typeface="Times New Roman" panose="02020603050405020304" pitchFamily="18" charset="0"/>
                <a:cs typeface="Times New Roman" panose="02020603050405020304" pitchFamily="18" charset="0"/>
              </a:rPr>
              <a:t>Besst Performing Product Line by Revenue</a:t>
            </a:r>
          </a:p>
        </c:rich>
      </c:tx>
      <c:layout>
        <c:manualLayout>
          <c:xMode val="edge"/>
          <c:yMode val="edge"/>
          <c:x val="0.14255310104430874"/>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solidFill>
                <a:schemeClr val="bg1"/>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solidFill>
          <a:ln>
            <a:noFill/>
          </a:ln>
          <a:effectLst/>
        </c:spPr>
        <c:dLbl>
          <c:idx val="0"/>
          <c:spPr>
            <a:noFill/>
            <a:ln>
              <a:solidFill>
                <a:sysClr val="window" lastClr="FFFFFF"/>
              </a:solidFill>
            </a:ln>
            <a:effectLst>
              <a:outerShdw blurRad="50800" dist="50800" dir="5400000" algn="ctr" rotWithShape="0">
                <a:sysClr val="window" lastClr="FFFFFF"/>
              </a:outerShdw>
            </a:effectLst>
          </c:spPr>
          <c:txPr>
            <a:bodyPr rot="0" spcFirstLastPara="1" vertOverflow="clip" horzOverflow="clip" vert="horz" wrap="square" lIns="38100" tIns="19050" rIns="38100" bIns="19050" anchor="ctr" anchorCtr="1">
              <a:noAutofit/>
            </a:bodyPr>
            <a:lstStyle/>
            <a:p>
              <a:pPr>
                <a:defRPr sz="8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13561244698753874"/>
                  <c:h val="0.15135808875652229"/>
                </c:manualLayout>
              </c15:layout>
            </c:ext>
          </c:extLst>
        </c:dLbl>
      </c:pivotFmt>
      <c:pivotFmt>
        <c:idx val="4"/>
        <c:spPr>
          <a:solidFill>
            <a:schemeClr val="tx1"/>
          </a:solidFill>
          <a:ln>
            <a:noFill/>
          </a:ln>
          <a:effectLst/>
        </c:spPr>
      </c:pivotFmt>
      <c:pivotFmt>
        <c:idx val="5"/>
        <c:spPr>
          <a:solidFill>
            <a:srgbClr val="FF0000"/>
          </a:solidFill>
          <a:ln>
            <a:noFill/>
          </a:ln>
          <a:effectLst/>
        </c:spPr>
      </c:pivotFmt>
      <c:pivotFmt>
        <c:idx val="6"/>
        <c:spPr>
          <a:solidFill>
            <a:schemeClr val="bg2">
              <a:lumMod val="75000"/>
            </a:schemeClr>
          </a:solidFill>
          <a:ln>
            <a:noFill/>
          </a:ln>
          <a:effectLst/>
        </c:spPr>
      </c:pivotFmt>
      <c:pivotFmt>
        <c:idx val="7"/>
        <c:spPr>
          <a:solidFill>
            <a:schemeClr val="bg2">
              <a:lumMod val="75000"/>
            </a:schemeClr>
          </a:solidFill>
          <a:ln>
            <a:noFill/>
          </a:ln>
          <a:effectLst/>
        </c:spPr>
      </c:pivotFmt>
      <c:pivotFmt>
        <c:idx val="8"/>
        <c:spPr>
          <a:solidFill>
            <a:schemeClr val="bg2">
              <a:lumMod val="75000"/>
            </a:schemeClr>
          </a:solidFill>
          <a:ln>
            <a:noFill/>
          </a:ln>
          <a:effectLst/>
        </c:spPr>
      </c:pivotFmt>
      <c:pivotFmt>
        <c:idx val="9"/>
        <c:spPr>
          <a:solidFill>
            <a:schemeClr val="accent1"/>
          </a:solidFill>
          <a:ln>
            <a:noFill/>
          </a:ln>
          <a:effectLst/>
        </c:spPr>
        <c:marker>
          <c:symbol val="none"/>
        </c:marker>
        <c:dLbl>
          <c:idx val="0"/>
          <c:spPr>
            <a:noFill/>
            <a:ln>
              <a:solidFill>
                <a:schemeClr val="bg1"/>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0000"/>
          </a:solidFill>
          <a:ln>
            <a:noFill/>
          </a:ln>
          <a:effectLst/>
        </c:spPr>
      </c:pivotFmt>
      <c:pivotFmt>
        <c:idx val="11"/>
        <c:spPr>
          <a:solidFill>
            <a:schemeClr val="bg2">
              <a:lumMod val="75000"/>
            </a:schemeClr>
          </a:solidFill>
          <a:ln>
            <a:noFill/>
          </a:ln>
          <a:effectLst/>
        </c:spPr>
      </c:pivotFmt>
      <c:pivotFmt>
        <c:idx val="12"/>
        <c:spPr>
          <a:solidFill>
            <a:schemeClr val="bg2">
              <a:lumMod val="75000"/>
            </a:schemeClr>
          </a:solidFill>
          <a:ln>
            <a:noFill/>
          </a:ln>
          <a:effectLst/>
        </c:spPr>
      </c:pivotFmt>
      <c:pivotFmt>
        <c:idx val="13"/>
        <c:spPr>
          <a:solidFill>
            <a:schemeClr val="bg2">
              <a:lumMod val="75000"/>
            </a:schemeClr>
          </a:solidFill>
          <a:ln>
            <a:noFill/>
          </a:ln>
          <a:effectLst/>
        </c:spPr>
      </c:pivotFmt>
      <c:pivotFmt>
        <c:idx val="14"/>
        <c:spPr>
          <a:solidFill>
            <a:schemeClr val="tx1"/>
          </a:solidFill>
          <a:ln>
            <a:noFill/>
          </a:ln>
          <a:effectLst/>
        </c:spPr>
      </c:pivotFmt>
      <c:pivotFmt>
        <c:idx val="15"/>
        <c:spPr>
          <a:solidFill>
            <a:schemeClr val="tx1"/>
          </a:solidFill>
          <a:ln>
            <a:noFill/>
          </a:ln>
          <a:effectLst/>
        </c:spPr>
        <c:dLbl>
          <c:idx val="0"/>
          <c:spPr>
            <a:noFill/>
            <a:ln>
              <a:solidFill>
                <a:sysClr val="window" lastClr="FFFFFF"/>
              </a:solidFill>
            </a:ln>
            <a:effectLst>
              <a:outerShdw blurRad="50800" dist="50800" dir="5400000" algn="ctr" rotWithShape="0">
                <a:sysClr val="window" lastClr="FFFFFF"/>
              </a:outerShdw>
            </a:effectLst>
          </c:spPr>
          <c:txPr>
            <a:bodyPr rot="0" spcFirstLastPara="1" vertOverflow="clip" horzOverflow="clip" vert="horz" wrap="square" lIns="38100" tIns="19050" rIns="38100" bIns="19050" anchor="ctr" anchorCtr="1">
              <a:noAutofit/>
            </a:bodyPr>
            <a:lstStyle/>
            <a:p>
              <a:pPr>
                <a:defRPr sz="8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13561244698753874"/>
                  <c:h val="0.15135808875652229"/>
                </c:manualLayout>
              </c15:layout>
            </c:ext>
          </c:extLst>
        </c:dLbl>
      </c:pivotFmt>
      <c:pivotFmt>
        <c:idx val="16"/>
        <c:spPr>
          <a:solidFill>
            <a:schemeClr val="accent1"/>
          </a:solidFill>
          <a:ln>
            <a:noFill/>
          </a:ln>
          <a:effectLst/>
        </c:spPr>
        <c:marker>
          <c:symbol val="none"/>
        </c:marker>
        <c:dLbl>
          <c:idx val="0"/>
          <c:spPr>
            <a:noFill/>
            <a:ln>
              <a:solidFill>
                <a:schemeClr val="bg1"/>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FF0000"/>
          </a:solidFill>
          <a:ln>
            <a:noFill/>
          </a:ln>
          <a:effectLst/>
        </c:spPr>
      </c:pivotFmt>
      <c:pivotFmt>
        <c:idx val="18"/>
        <c:spPr>
          <a:solidFill>
            <a:schemeClr val="bg2">
              <a:lumMod val="75000"/>
            </a:schemeClr>
          </a:solidFill>
          <a:ln>
            <a:noFill/>
          </a:ln>
          <a:effectLst/>
        </c:spPr>
      </c:pivotFmt>
      <c:pivotFmt>
        <c:idx val="19"/>
        <c:spPr>
          <a:solidFill>
            <a:schemeClr val="bg2">
              <a:lumMod val="75000"/>
            </a:schemeClr>
          </a:solidFill>
          <a:ln>
            <a:noFill/>
          </a:ln>
          <a:effectLst/>
        </c:spPr>
      </c:pivotFmt>
      <c:pivotFmt>
        <c:idx val="20"/>
        <c:spPr>
          <a:solidFill>
            <a:schemeClr val="bg2">
              <a:lumMod val="75000"/>
            </a:schemeClr>
          </a:solidFill>
          <a:ln>
            <a:noFill/>
          </a:ln>
          <a:effectLst/>
        </c:spPr>
      </c:pivotFmt>
      <c:pivotFmt>
        <c:idx val="21"/>
        <c:spPr>
          <a:solidFill>
            <a:schemeClr val="tx1"/>
          </a:solidFill>
          <a:ln>
            <a:noFill/>
          </a:ln>
          <a:effectLst/>
        </c:spPr>
      </c:pivotFmt>
      <c:pivotFmt>
        <c:idx val="22"/>
        <c:spPr>
          <a:solidFill>
            <a:schemeClr val="tx1"/>
          </a:solidFill>
          <a:ln>
            <a:noFill/>
          </a:ln>
          <a:effectLst/>
        </c:spPr>
        <c:dLbl>
          <c:idx val="0"/>
          <c:spPr>
            <a:noFill/>
            <a:ln>
              <a:solidFill>
                <a:sysClr val="window" lastClr="FFFFFF"/>
              </a:solidFill>
            </a:ln>
            <a:effectLst>
              <a:outerShdw blurRad="50800" dist="50800" dir="5400000" algn="ctr" rotWithShape="0">
                <a:sysClr val="window" lastClr="FFFFFF"/>
              </a:outerShdw>
            </a:effectLst>
          </c:spPr>
          <c:txPr>
            <a:bodyPr rot="0" spcFirstLastPara="1" vertOverflow="clip" horzOverflow="clip" vert="horz" wrap="square" lIns="38100" tIns="19050" rIns="38100" bIns="19050" anchor="ctr" anchorCtr="1">
              <a:noAutofit/>
            </a:bodyPr>
            <a:lstStyle/>
            <a:p>
              <a:pPr>
                <a:defRPr sz="8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13561244698753874"/>
                  <c:h val="0.15135808875652229"/>
                </c:manualLayout>
              </c15:layout>
            </c:ext>
          </c:extLst>
        </c:dLbl>
      </c:pivotFmt>
    </c:pivotFmts>
    <c:plotArea>
      <c:layout>
        <c:manualLayout>
          <c:layoutTarget val="inner"/>
          <c:xMode val="edge"/>
          <c:yMode val="edge"/>
          <c:x val="2.7228801404696793E-3"/>
          <c:y val="0.17824277694700563"/>
          <c:w val="0.9857549165167071"/>
          <c:h val="0.81868562284374935"/>
        </c:manualLayout>
      </c:layout>
      <c:barChart>
        <c:barDir val="bar"/>
        <c:grouping val="clustered"/>
        <c:varyColors val="0"/>
        <c:ser>
          <c:idx val="0"/>
          <c:order val="0"/>
          <c:tx>
            <c:strRef>
              <c:f>'Pivot Table'!$B$59</c:f>
              <c:strCache>
                <c:ptCount val="1"/>
                <c:pt idx="0">
                  <c:v>Total</c:v>
                </c:pt>
              </c:strCache>
            </c:strRef>
          </c:tx>
          <c:spPr>
            <a:solidFill>
              <a:schemeClr val="accent1"/>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1-7704-4C8B-855E-B7988B949772}"/>
              </c:ext>
            </c:extLst>
          </c:dPt>
          <c:dPt>
            <c:idx val="1"/>
            <c:invertIfNegative val="0"/>
            <c:bubble3D val="0"/>
            <c:spPr>
              <a:solidFill>
                <a:schemeClr val="bg2">
                  <a:lumMod val="75000"/>
                </a:schemeClr>
              </a:solidFill>
              <a:ln>
                <a:noFill/>
              </a:ln>
              <a:effectLst/>
            </c:spPr>
            <c:extLst>
              <c:ext xmlns:c16="http://schemas.microsoft.com/office/drawing/2014/chart" uri="{C3380CC4-5D6E-409C-BE32-E72D297353CC}">
                <c16:uniqueId val="{00000003-7704-4C8B-855E-B7988B949772}"/>
              </c:ext>
            </c:extLst>
          </c:dPt>
          <c:dPt>
            <c:idx val="2"/>
            <c:invertIfNegative val="0"/>
            <c:bubble3D val="0"/>
            <c:spPr>
              <a:solidFill>
                <a:schemeClr val="bg2">
                  <a:lumMod val="75000"/>
                </a:schemeClr>
              </a:solidFill>
              <a:ln>
                <a:noFill/>
              </a:ln>
              <a:effectLst/>
            </c:spPr>
            <c:extLst>
              <c:ext xmlns:c16="http://schemas.microsoft.com/office/drawing/2014/chart" uri="{C3380CC4-5D6E-409C-BE32-E72D297353CC}">
                <c16:uniqueId val="{00000005-7704-4C8B-855E-B7988B949772}"/>
              </c:ext>
            </c:extLst>
          </c:dPt>
          <c:dPt>
            <c:idx val="3"/>
            <c:invertIfNegative val="0"/>
            <c:bubble3D val="0"/>
            <c:spPr>
              <a:solidFill>
                <a:schemeClr val="bg2">
                  <a:lumMod val="75000"/>
                </a:schemeClr>
              </a:solidFill>
              <a:ln>
                <a:noFill/>
              </a:ln>
              <a:effectLst/>
            </c:spPr>
            <c:extLst>
              <c:ext xmlns:c16="http://schemas.microsoft.com/office/drawing/2014/chart" uri="{C3380CC4-5D6E-409C-BE32-E72D297353CC}">
                <c16:uniqueId val="{00000007-7704-4C8B-855E-B7988B949772}"/>
              </c:ext>
            </c:extLst>
          </c:dPt>
          <c:dPt>
            <c:idx val="4"/>
            <c:invertIfNegative val="0"/>
            <c:bubble3D val="0"/>
            <c:spPr>
              <a:solidFill>
                <a:schemeClr val="tx1"/>
              </a:solidFill>
              <a:ln>
                <a:noFill/>
              </a:ln>
              <a:effectLst/>
            </c:spPr>
            <c:extLst>
              <c:ext xmlns:c16="http://schemas.microsoft.com/office/drawing/2014/chart" uri="{C3380CC4-5D6E-409C-BE32-E72D297353CC}">
                <c16:uniqueId val="{00000009-7704-4C8B-855E-B7988B949772}"/>
              </c:ext>
            </c:extLst>
          </c:dPt>
          <c:dPt>
            <c:idx val="5"/>
            <c:invertIfNegative val="0"/>
            <c:bubble3D val="0"/>
            <c:spPr>
              <a:solidFill>
                <a:schemeClr val="tx1"/>
              </a:solidFill>
              <a:ln>
                <a:noFill/>
              </a:ln>
              <a:effectLst/>
            </c:spPr>
            <c:extLst>
              <c:ext xmlns:c16="http://schemas.microsoft.com/office/drawing/2014/chart" uri="{C3380CC4-5D6E-409C-BE32-E72D297353CC}">
                <c16:uniqueId val="{0000000B-7704-4C8B-855E-B7988B949772}"/>
              </c:ext>
            </c:extLst>
          </c:dPt>
          <c:dLbls>
            <c:dLbl>
              <c:idx val="5"/>
              <c:spPr>
                <a:noFill/>
                <a:ln>
                  <a:solidFill>
                    <a:sysClr val="window" lastClr="FFFFFF"/>
                  </a:solidFill>
                </a:ln>
                <a:effectLst>
                  <a:outerShdw blurRad="50800" dist="50800" dir="5400000" algn="ctr" rotWithShape="0">
                    <a:sysClr val="window" lastClr="FFFFFF"/>
                  </a:outerShdw>
                </a:effectLst>
              </c:spPr>
              <c:txPr>
                <a:bodyPr rot="0" spcFirstLastPara="1" vertOverflow="clip" horzOverflow="clip" vert="horz" wrap="square" lIns="38100" tIns="19050" rIns="38100" bIns="19050" anchor="ctr" anchorCtr="1">
                  <a:noAutofit/>
                </a:bodyPr>
                <a:lstStyle/>
                <a:p>
                  <a:pPr>
                    <a:defRPr sz="8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13561244698753874"/>
                      <c:h val="0.15135808875652229"/>
                    </c:manualLayout>
                  </c15:layout>
                </c:ext>
                <c:ext xmlns:c16="http://schemas.microsoft.com/office/drawing/2014/chart" uri="{C3380CC4-5D6E-409C-BE32-E72D297353CC}">
                  <c16:uniqueId val="{0000000B-7704-4C8B-855E-B7988B949772}"/>
                </c:ext>
              </c:extLst>
            </c:dLbl>
            <c:spPr>
              <a:noFill/>
              <a:ln>
                <a:solidFill>
                  <a:schemeClr val="bg1"/>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Table'!$A$60:$A$66</c:f>
              <c:strCache>
                <c:ptCount val="6"/>
                <c:pt idx="0">
                  <c:v>Health and beauty</c:v>
                </c:pt>
                <c:pt idx="1">
                  <c:v>Electronic accessories</c:v>
                </c:pt>
                <c:pt idx="2">
                  <c:v>Food and beverages</c:v>
                </c:pt>
                <c:pt idx="3">
                  <c:v>Home and lifestyle</c:v>
                </c:pt>
                <c:pt idx="4">
                  <c:v>Sports and travel</c:v>
                </c:pt>
                <c:pt idx="5">
                  <c:v>Fashion accessories</c:v>
                </c:pt>
              </c:strCache>
            </c:strRef>
          </c:cat>
          <c:val>
            <c:numRef>
              <c:f>'Pivot Table'!$B$60:$B$66</c:f>
              <c:numCache>
                <c:formatCode>"$"#,##0</c:formatCode>
                <c:ptCount val="6"/>
                <c:pt idx="0">
                  <c:v>53743.302000000011</c:v>
                </c:pt>
                <c:pt idx="1">
                  <c:v>57953.664000000004</c:v>
                </c:pt>
                <c:pt idx="2">
                  <c:v>58818.430000000008</c:v>
                </c:pt>
                <c:pt idx="3">
                  <c:v>58948.276500000007</c:v>
                </c:pt>
                <c:pt idx="4">
                  <c:v>59979.222000000002</c:v>
                </c:pt>
                <c:pt idx="5">
                  <c:v>62055.877</c:v>
                </c:pt>
              </c:numCache>
            </c:numRef>
          </c:val>
          <c:extLst>
            <c:ext xmlns:c16="http://schemas.microsoft.com/office/drawing/2014/chart" uri="{C3380CC4-5D6E-409C-BE32-E72D297353CC}">
              <c16:uniqueId val="{0000000C-7704-4C8B-855E-B7988B949772}"/>
            </c:ext>
          </c:extLst>
        </c:ser>
        <c:dLbls>
          <c:dLblPos val="outEnd"/>
          <c:showLegendKey val="0"/>
          <c:showVal val="1"/>
          <c:showCatName val="0"/>
          <c:showSerName val="0"/>
          <c:showPercent val="0"/>
          <c:showBubbleSize val="0"/>
        </c:dLbls>
        <c:gapWidth val="182"/>
        <c:axId val="2028464751"/>
        <c:axId val="2028473071"/>
      </c:barChart>
      <c:catAx>
        <c:axId val="2028464751"/>
        <c:scaling>
          <c:orientation val="minMax"/>
        </c:scaling>
        <c:delete val="1"/>
        <c:axPos val="l"/>
        <c:numFmt formatCode="General" sourceLinked="1"/>
        <c:majorTickMark val="out"/>
        <c:minorTickMark val="none"/>
        <c:tickLblPos val="nextTo"/>
        <c:crossAx val="2028473071"/>
        <c:crosses val="autoZero"/>
        <c:auto val="1"/>
        <c:lblAlgn val="ctr"/>
        <c:lblOffset val="100"/>
        <c:noMultiLvlLbl val="0"/>
      </c:catAx>
      <c:valAx>
        <c:axId val="2028473071"/>
        <c:scaling>
          <c:orientation val="minMax"/>
        </c:scaling>
        <c:delete val="1"/>
        <c:axPos val="b"/>
        <c:numFmt formatCode="&quot;$&quot;#,##0" sourceLinked="1"/>
        <c:majorTickMark val="out"/>
        <c:minorTickMark val="none"/>
        <c:tickLblPos val="nextTo"/>
        <c:crossAx val="20284647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chart" Target="../charts/chart3.xml"/><Relationship Id="rId7"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png"/><Relationship Id="rId5" Type="http://schemas.openxmlformats.org/officeDocument/2006/relationships/image" Target="../media/image1.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2</xdr:row>
      <xdr:rowOff>19050</xdr:rowOff>
    </xdr:from>
    <xdr:to>
      <xdr:col>3</xdr:col>
      <xdr:colOff>469900</xdr:colOff>
      <xdr:row>11</xdr:row>
      <xdr:rowOff>6350</xdr:rowOff>
    </xdr:to>
    <xdr:graphicFrame macro="">
      <xdr:nvGraphicFramePr>
        <xdr:cNvPr id="2" name="Chart 1">
          <a:extLst>
            <a:ext uri="{FF2B5EF4-FFF2-40B4-BE49-F238E27FC236}">
              <a16:creationId xmlns:a16="http://schemas.microsoft.com/office/drawing/2014/main" id="{B3ECC02B-1DD1-4004-8EF0-86B0586121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265351</xdr:colOff>
      <xdr:row>10</xdr:row>
      <xdr:rowOff>171387</xdr:rowOff>
    </xdr:from>
    <xdr:to>
      <xdr:col>11</xdr:col>
      <xdr:colOff>209612</xdr:colOff>
      <xdr:row>25</xdr:row>
      <xdr:rowOff>1761</xdr:rowOff>
    </xdr:to>
    <xdr:graphicFrame macro="">
      <xdr:nvGraphicFramePr>
        <xdr:cNvPr id="3" name="Chart 2">
          <a:extLst>
            <a:ext uri="{FF2B5EF4-FFF2-40B4-BE49-F238E27FC236}">
              <a16:creationId xmlns:a16="http://schemas.microsoft.com/office/drawing/2014/main" id="{9101375C-2C27-4283-B2B8-9736F2D187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10</xdr:row>
      <xdr:rowOff>169975</xdr:rowOff>
    </xdr:from>
    <xdr:to>
      <xdr:col>5</xdr:col>
      <xdr:colOff>271639</xdr:colOff>
      <xdr:row>25</xdr:row>
      <xdr:rowOff>6286</xdr:rowOff>
    </xdr:to>
    <xdr:graphicFrame macro="">
      <xdr:nvGraphicFramePr>
        <xdr:cNvPr id="4" name="Chart 3">
          <a:extLst>
            <a:ext uri="{FF2B5EF4-FFF2-40B4-BE49-F238E27FC236}">
              <a16:creationId xmlns:a16="http://schemas.microsoft.com/office/drawing/2014/main" id="{1B57DF03-B087-46BC-997E-496C489852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495300</xdr:colOff>
      <xdr:row>2</xdr:row>
      <xdr:rowOff>20461</xdr:rowOff>
    </xdr:from>
    <xdr:to>
      <xdr:col>6</xdr:col>
      <xdr:colOff>603250</xdr:colOff>
      <xdr:row>11</xdr:row>
      <xdr:rowOff>0</xdr:rowOff>
    </xdr:to>
    <xdr:graphicFrame macro="">
      <xdr:nvGraphicFramePr>
        <xdr:cNvPr id="5" name="Chart 4">
          <a:extLst>
            <a:ext uri="{FF2B5EF4-FFF2-40B4-BE49-F238E27FC236}">
              <a16:creationId xmlns:a16="http://schemas.microsoft.com/office/drawing/2014/main" id="{A9822A0C-331B-49F5-A112-E92E488D51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215900</xdr:colOff>
      <xdr:row>10</xdr:row>
      <xdr:rowOff>146051</xdr:rowOff>
    </xdr:from>
    <xdr:to>
      <xdr:col>13</xdr:col>
      <xdr:colOff>12700</xdr:colOff>
      <xdr:row>15</xdr:row>
      <xdr:rowOff>120651</xdr:rowOff>
    </xdr:to>
    <mc:AlternateContent xmlns:mc="http://schemas.openxmlformats.org/markup-compatibility/2006" xmlns:a14="http://schemas.microsoft.com/office/drawing/2010/main">
      <mc:Choice Requires="a14">
        <xdr:graphicFrame macro="">
          <xdr:nvGraphicFramePr>
            <xdr:cNvPr id="18" name="Gender 1">
              <a:extLst>
                <a:ext uri="{FF2B5EF4-FFF2-40B4-BE49-F238E27FC236}">
                  <a16:creationId xmlns:a16="http://schemas.microsoft.com/office/drawing/2014/main" id="{A7DD50AF-6513-404E-9492-27380A7387C8}"/>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6924266" y="1969318"/>
              <a:ext cx="1016503" cy="8862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234950</xdr:colOff>
      <xdr:row>0</xdr:row>
      <xdr:rowOff>1</xdr:rowOff>
    </xdr:from>
    <xdr:to>
      <xdr:col>13</xdr:col>
      <xdr:colOff>0</xdr:colOff>
      <xdr:row>6</xdr:row>
      <xdr:rowOff>38101</xdr:rowOff>
    </xdr:to>
    <mc:AlternateContent xmlns:mc="http://schemas.openxmlformats.org/markup-compatibility/2006" xmlns:a14="http://schemas.microsoft.com/office/drawing/2010/main">
      <mc:Choice Requires="a14">
        <xdr:graphicFrame macro="">
          <xdr:nvGraphicFramePr>
            <xdr:cNvPr id="19" name="City 1">
              <a:extLst>
                <a:ext uri="{FF2B5EF4-FFF2-40B4-BE49-F238E27FC236}">
                  <a16:creationId xmlns:a16="http://schemas.microsoft.com/office/drawing/2014/main" id="{E4C6AC39-2F2F-4277-9233-79D8C93A258B}"/>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6943316" y="1"/>
              <a:ext cx="984753" cy="11320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228600</xdr:colOff>
      <xdr:row>6</xdr:row>
      <xdr:rowOff>25400</xdr:rowOff>
    </xdr:from>
    <xdr:to>
      <xdr:col>13</xdr:col>
      <xdr:colOff>19050</xdr:colOff>
      <xdr:row>10</xdr:row>
      <xdr:rowOff>152400</xdr:rowOff>
    </xdr:to>
    <mc:AlternateContent xmlns:mc="http://schemas.openxmlformats.org/markup-compatibility/2006" xmlns:a14="http://schemas.microsoft.com/office/drawing/2010/main">
      <mc:Choice Requires="a14">
        <xdr:graphicFrame macro="">
          <xdr:nvGraphicFramePr>
            <xdr:cNvPr id="20" name="Customer type">
              <a:extLst>
                <a:ext uri="{FF2B5EF4-FFF2-40B4-BE49-F238E27FC236}">
                  <a16:creationId xmlns:a16="http://schemas.microsoft.com/office/drawing/2014/main" id="{50BCC5E9-E843-4217-BDED-D2DA71022C3D}"/>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6936966" y="1119360"/>
              <a:ext cx="1010153" cy="8563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215900</xdr:colOff>
      <xdr:row>15</xdr:row>
      <xdr:rowOff>114301</xdr:rowOff>
    </xdr:from>
    <xdr:to>
      <xdr:col>13</xdr:col>
      <xdr:colOff>6350</xdr:colOff>
      <xdr:row>25</xdr:row>
      <xdr:rowOff>25400</xdr:rowOff>
    </xdr:to>
    <mc:AlternateContent xmlns:mc="http://schemas.openxmlformats.org/markup-compatibility/2006" xmlns:a14="http://schemas.microsoft.com/office/drawing/2010/main">
      <mc:Choice Requires="a14">
        <xdr:graphicFrame macro="">
          <xdr:nvGraphicFramePr>
            <xdr:cNvPr id="21" name="Product line 1">
              <a:extLst>
                <a:ext uri="{FF2B5EF4-FFF2-40B4-BE49-F238E27FC236}">
                  <a16:creationId xmlns:a16="http://schemas.microsoft.com/office/drawing/2014/main" id="{3B2C5A8C-1BC9-4849-9A1F-81B2AAFAC3B2}"/>
                </a:ext>
              </a:extLst>
            </xdr:cNvPr>
            <xdr:cNvGraphicFramePr/>
          </xdr:nvGraphicFramePr>
          <xdr:xfrm>
            <a:off x="0" y="0"/>
            <a:ext cx="0" cy="0"/>
          </xdr:xfrm>
          <a:graphic>
            <a:graphicData uri="http://schemas.microsoft.com/office/drawing/2010/slicer">
              <sle:slicer xmlns:sle="http://schemas.microsoft.com/office/drawing/2010/slicer" name="Product line 1"/>
            </a:graphicData>
          </a:graphic>
        </xdr:graphicFrame>
      </mc:Choice>
      <mc:Fallback xmlns="">
        <xdr:sp macro="" textlink="">
          <xdr:nvSpPr>
            <xdr:cNvPr id="0" name=""/>
            <xdr:cNvSpPr>
              <a:spLocks noTextEdit="1"/>
            </xdr:cNvSpPr>
          </xdr:nvSpPr>
          <xdr:spPr>
            <a:xfrm>
              <a:off x="6924266" y="2849202"/>
              <a:ext cx="1010153" cy="17343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81734</xdr:rowOff>
    </xdr:from>
    <xdr:to>
      <xdr:col>1</xdr:col>
      <xdr:colOff>176040</xdr:colOff>
      <xdr:row>1</xdr:row>
      <xdr:rowOff>169754</xdr:rowOff>
    </xdr:to>
    <xdr:pic>
      <xdr:nvPicPr>
        <xdr:cNvPr id="11" name="Picture 10">
          <a:extLst>
            <a:ext uri="{FF2B5EF4-FFF2-40B4-BE49-F238E27FC236}">
              <a16:creationId xmlns:a16="http://schemas.microsoft.com/office/drawing/2014/main" id="{B4F82F7C-00A1-4F5C-B61B-1553F17F54CF}"/>
            </a:ext>
          </a:extLst>
        </xdr:cNvPr>
        <xdr:cNvPicPr>
          <a:picLocks noChangeAspect="1"/>
        </xdr:cNvPicPr>
      </xdr:nvPicPr>
      <xdr:blipFill>
        <a:blip xmlns:r="http://schemas.openxmlformats.org/officeDocument/2006/relationships" r:embed="rId5" cstate="print">
          <a:duotone>
            <a:prstClr val="black"/>
            <a:schemeClr val="accent3">
              <a:tint val="45000"/>
              <a:satMod val="400000"/>
            </a:schemeClr>
          </a:duotone>
          <a:extLst>
            <a:ext uri="{28A0092B-C50C-407E-A947-70E740481C1C}">
              <a14:useLocalDpi xmlns:a14="http://schemas.microsoft.com/office/drawing/2010/main" val="0"/>
            </a:ext>
          </a:extLst>
        </a:blip>
        <a:stretch>
          <a:fillRect/>
        </a:stretch>
      </xdr:blipFill>
      <xdr:spPr>
        <a:xfrm>
          <a:off x="0" y="81734"/>
          <a:ext cx="785891" cy="270347"/>
        </a:xfrm>
        <a:prstGeom prst="rect">
          <a:avLst/>
        </a:prstGeom>
      </xdr:spPr>
    </xdr:pic>
    <xdr:clientData/>
  </xdr:twoCellAnchor>
  <xdr:twoCellAnchor>
    <xdr:from>
      <xdr:col>6</xdr:col>
      <xdr:colOff>433812</xdr:colOff>
      <xdr:row>0</xdr:row>
      <xdr:rowOff>6288</xdr:rowOff>
    </xdr:from>
    <xdr:to>
      <xdr:col>9</xdr:col>
      <xdr:colOff>12574</xdr:colOff>
      <xdr:row>1</xdr:row>
      <xdr:rowOff>169753</xdr:rowOff>
    </xdr:to>
    <xdr:sp macro="" textlink="">
      <xdr:nvSpPr>
        <xdr:cNvPr id="16" name="Rectangle 15">
          <a:extLst>
            <a:ext uri="{FF2B5EF4-FFF2-40B4-BE49-F238E27FC236}">
              <a16:creationId xmlns:a16="http://schemas.microsoft.com/office/drawing/2014/main" id="{AA916D47-A09C-43AF-A8FB-8CCCDD806F08}"/>
            </a:ext>
          </a:extLst>
        </xdr:cNvPr>
        <xdr:cNvSpPr/>
      </xdr:nvSpPr>
      <xdr:spPr>
        <a:xfrm>
          <a:off x="4092921" y="6288"/>
          <a:ext cx="1408316" cy="345792"/>
        </a:xfrm>
        <a:prstGeom prst="rect">
          <a:avLst/>
        </a:prstGeom>
        <a:solidFill>
          <a:schemeClr val="bg1"/>
        </a:solidFill>
        <a:ln>
          <a:solidFill>
            <a:schemeClr val="bg2">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noFill/>
          </a:endParaRPr>
        </a:p>
      </xdr:txBody>
    </xdr:sp>
    <xdr:clientData/>
  </xdr:twoCellAnchor>
  <xdr:twoCellAnchor>
    <xdr:from>
      <xdr:col>9</xdr:col>
      <xdr:colOff>18862</xdr:colOff>
      <xdr:row>0</xdr:row>
      <xdr:rowOff>0</xdr:rowOff>
    </xdr:from>
    <xdr:to>
      <xdr:col>11</xdr:col>
      <xdr:colOff>220050</xdr:colOff>
      <xdr:row>2</xdr:row>
      <xdr:rowOff>0</xdr:rowOff>
    </xdr:to>
    <xdr:sp macro="" textlink="">
      <xdr:nvSpPr>
        <xdr:cNvPr id="17" name="Rectangle 16">
          <a:extLst>
            <a:ext uri="{FF2B5EF4-FFF2-40B4-BE49-F238E27FC236}">
              <a16:creationId xmlns:a16="http://schemas.microsoft.com/office/drawing/2014/main" id="{4C5EF371-4C56-4DE9-A6C9-7DCBB2BCA924}"/>
            </a:ext>
          </a:extLst>
        </xdr:cNvPr>
        <xdr:cNvSpPr/>
      </xdr:nvSpPr>
      <xdr:spPr>
        <a:xfrm>
          <a:off x="5507525" y="0"/>
          <a:ext cx="1420891" cy="364653"/>
        </a:xfrm>
        <a:prstGeom prst="rect">
          <a:avLst/>
        </a:prstGeom>
        <a:solidFill>
          <a:schemeClr val="bg1"/>
        </a:solidFill>
        <a:ln>
          <a:solidFill>
            <a:schemeClr val="bg2">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6</xdr:col>
      <xdr:colOff>471534</xdr:colOff>
      <xdr:row>0</xdr:row>
      <xdr:rowOff>18862</xdr:rowOff>
    </xdr:from>
    <xdr:to>
      <xdr:col>7</xdr:col>
      <xdr:colOff>339505</xdr:colOff>
      <xdr:row>1</xdr:row>
      <xdr:rowOff>119457</xdr:rowOff>
    </xdr:to>
    <xdr:pic>
      <xdr:nvPicPr>
        <xdr:cNvPr id="23" name="Picture 22">
          <a:extLst>
            <a:ext uri="{FF2B5EF4-FFF2-40B4-BE49-F238E27FC236}">
              <a16:creationId xmlns:a16="http://schemas.microsoft.com/office/drawing/2014/main" id="{BD5ACB8E-8B8D-46C3-A8F4-A735F77351BA}"/>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4130643" y="18862"/>
          <a:ext cx="477822" cy="282922"/>
        </a:xfrm>
        <a:prstGeom prst="rect">
          <a:avLst/>
        </a:prstGeom>
      </xdr:spPr>
    </xdr:pic>
    <xdr:clientData/>
  </xdr:twoCellAnchor>
  <xdr:twoCellAnchor editAs="oneCell">
    <xdr:from>
      <xdr:col>9</xdr:col>
      <xdr:colOff>56585</xdr:colOff>
      <xdr:row>0</xdr:row>
      <xdr:rowOff>68766</xdr:rowOff>
    </xdr:from>
    <xdr:to>
      <xdr:col>9</xdr:col>
      <xdr:colOff>565842</xdr:colOff>
      <xdr:row>1</xdr:row>
      <xdr:rowOff>88020</xdr:rowOff>
    </xdr:to>
    <xdr:pic>
      <xdr:nvPicPr>
        <xdr:cNvPr id="26" name="Picture 25">
          <a:extLst>
            <a:ext uri="{FF2B5EF4-FFF2-40B4-BE49-F238E27FC236}">
              <a16:creationId xmlns:a16="http://schemas.microsoft.com/office/drawing/2014/main" id="{348745A6-3923-4312-8224-1279189DC6E9}"/>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5545248" y="68766"/>
          <a:ext cx="509257" cy="201581"/>
        </a:xfrm>
        <a:prstGeom prst="rect">
          <a:avLst/>
        </a:prstGeom>
      </xdr:spPr>
    </xdr:pic>
    <xdr:clientData/>
  </xdr:twoCellAnchor>
  <xdr:oneCellAnchor>
    <xdr:from>
      <xdr:col>7</xdr:col>
      <xdr:colOff>295496</xdr:colOff>
      <xdr:row>0</xdr:row>
      <xdr:rowOff>0</xdr:rowOff>
    </xdr:from>
    <xdr:ext cx="999654" cy="433811"/>
    <xdr:sp macro="" textlink="'Pivot Table'!A22">
      <xdr:nvSpPr>
        <xdr:cNvPr id="27" name="TextBox 26">
          <a:extLst>
            <a:ext uri="{FF2B5EF4-FFF2-40B4-BE49-F238E27FC236}">
              <a16:creationId xmlns:a16="http://schemas.microsoft.com/office/drawing/2014/main" id="{D74DCF51-A703-4FB5-8A5C-E6064D26A2F3}"/>
            </a:ext>
          </a:extLst>
        </xdr:cNvPr>
        <xdr:cNvSpPr txBox="1"/>
      </xdr:nvSpPr>
      <xdr:spPr>
        <a:xfrm>
          <a:off x="4564456" y="0"/>
          <a:ext cx="999654" cy="4338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0" i="0" u="none" strike="noStrike">
              <a:solidFill>
                <a:srgbClr val="000000"/>
              </a:solidFill>
              <a:latin typeface="Calibri"/>
              <a:ea typeface="Calibri"/>
              <a:cs typeface="Calibri"/>
            </a:rPr>
            <a:t>Total Revenue     </a:t>
          </a:r>
          <a:fld id="{3051DE49-076E-4493-98DE-3D15DDDBE07F}" type="TxLink">
            <a:rPr lang="en-US" sz="1100" b="0" i="0" u="none" strike="noStrike">
              <a:solidFill>
                <a:srgbClr val="000000"/>
              </a:solidFill>
              <a:latin typeface="Calibri"/>
              <a:ea typeface="Calibri"/>
              <a:cs typeface="Calibri"/>
            </a:rPr>
            <a:pPr/>
            <a:t>$351,499</a:t>
          </a:fld>
          <a:endParaRPr lang="en-US" sz="1100"/>
        </a:p>
      </xdr:txBody>
    </xdr:sp>
    <xdr:clientData/>
  </xdr:oneCellAnchor>
  <xdr:oneCellAnchor>
    <xdr:from>
      <xdr:col>9</xdr:col>
      <xdr:colOff>597276</xdr:colOff>
      <xdr:row>0</xdr:row>
      <xdr:rowOff>0</xdr:rowOff>
    </xdr:from>
    <xdr:ext cx="855051" cy="452672"/>
    <xdr:sp macro="" textlink="'Pivot Table'!A71">
      <xdr:nvSpPr>
        <xdr:cNvPr id="28" name="TextBox 27">
          <a:extLst>
            <a:ext uri="{FF2B5EF4-FFF2-40B4-BE49-F238E27FC236}">
              <a16:creationId xmlns:a16="http://schemas.microsoft.com/office/drawing/2014/main" id="{224C2049-3F31-4C03-9A75-E1F5AB033D98}"/>
            </a:ext>
          </a:extLst>
        </xdr:cNvPr>
        <xdr:cNvSpPr txBox="1"/>
      </xdr:nvSpPr>
      <xdr:spPr>
        <a:xfrm>
          <a:off x="6085939" y="0"/>
          <a:ext cx="855051" cy="4526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0" i="0" u="none" strike="noStrike">
              <a:solidFill>
                <a:srgbClr val="000000"/>
              </a:solidFill>
              <a:latin typeface="Calibri"/>
              <a:ea typeface="Calibri"/>
              <a:cs typeface="Calibri"/>
            </a:rPr>
            <a:t>Total</a:t>
          </a:r>
          <a:r>
            <a:rPr lang="en-US" sz="1100" b="0" i="0" u="none" strike="noStrike" baseline="0">
              <a:solidFill>
                <a:srgbClr val="000000"/>
              </a:solidFill>
              <a:latin typeface="Calibri"/>
              <a:ea typeface="Calibri"/>
              <a:cs typeface="Calibri"/>
            </a:rPr>
            <a:t> Sales</a:t>
          </a:r>
        </a:p>
        <a:p>
          <a:fld id="{7512A377-69A7-4CB7-A27A-018503005165}" type="TxLink">
            <a:rPr lang="en-US" sz="1100" b="0" i="0" u="none" strike="noStrike">
              <a:solidFill>
                <a:srgbClr val="000000"/>
              </a:solidFill>
              <a:latin typeface="Calibri"/>
              <a:ea typeface="Calibri"/>
              <a:cs typeface="Calibri"/>
            </a:rPr>
            <a:pPr/>
            <a:t>$307,587</a:t>
          </a:fld>
          <a:endParaRPr lang="en-US" sz="1100"/>
        </a:p>
      </xdr:txBody>
    </xdr:sp>
    <xdr:clientData/>
  </xdr:oneCellAnchor>
  <xdr:twoCellAnchor>
    <xdr:from>
      <xdr:col>7</xdr:col>
      <xdr:colOff>3</xdr:colOff>
      <xdr:row>2</xdr:row>
      <xdr:rowOff>37726</xdr:rowOff>
    </xdr:from>
    <xdr:to>
      <xdr:col>11</xdr:col>
      <xdr:colOff>207476</xdr:colOff>
      <xdr:row>10</xdr:row>
      <xdr:rowOff>157179</xdr:rowOff>
    </xdr:to>
    <xdr:graphicFrame macro="">
      <xdr:nvGraphicFramePr>
        <xdr:cNvPr id="22" name="Chart 21">
          <a:extLst>
            <a:ext uri="{FF2B5EF4-FFF2-40B4-BE49-F238E27FC236}">
              <a16:creationId xmlns:a16="http://schemas.microsoft.com/office/drawing/2014/main" id="{F32FB852-ADA5-46F8-AEF2-63CC55795E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0.01893</cdr:x>
      <cdr:y>0.14663</cdr:y>
    </cdr:from>
    <cdr:to>
      <cdr:x>0.35214</cdr:x>
      <cdr:y>0.21998</cdr:y>
    </cdr:to>
    <cdr:sp macro="" textlink="">
      <cdr:nvSpPr>
        <cdr:cNvPr id="2" name="TextBox 1">
          <a:extLst xmlns:a="http://schemas.openxmlformats.org/drawingml/2006/main">
            <a:ext uri="{FF2B5EF4-FFF2-40B4-BE49-F238E27FC236}">
              <a16:creationId xmlns:a16="http://schemas.microsoft.com/office/drawing/2014/main" id="{F79E92BD-ECBD-4CEB-98F8-EE16445ABBBC}"/>
            </a:ext>
          </a:extLst>
        </cdr:cNvPr>
        <cdr:cNvSpPr txBox="1"/>
      </cdr:nvSpPr>
      <cdr:spPr>
        <a:xfrm xmlns:a="http://schemas.openxmlformats.org/drawingml/2006/main">
          <a:off x="62871" y="377006"/>
          <a:ext cx="1106535" cy="18861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Health</a:t>
          </a:r>
          <a:r>
            <a:rPr lang="en-US" sz="1100" baseline="0"/>
            <a:t> and beauty</a:t>
          </a:r>
          <a:endParaRPr lang="en-US" sz="1100"/>
        </a:p>
      </cdr:txBody>
    </cdr:sp>
  </cdr:relSizeAnchor>
  <cdr:relSizeAnchor xmlns:cdr="http://schemas.openxmlformats.org/drawingml/2006/chartDrawing">
    <cdr:from>
      <cdr:x>0.01704</cdr:x>
      <cdr:y>0.264</cdr:y>
    </cdr:from>
    <cdr:to>
      <cdr:x>0.38515</cdr:x>
      <cdr:y>0.34224</cdr:y>
    </cdr:to>
    <cdr:sp macro="" textlink="">
      <cdr:nvSpPr>
        <cdr:cNvPr id="3" name="TextBox 2">
          <a:extLst xmlns:a="http://schemas.openxmlformats.org/drawingml/2006/main">
            <a:ext uri="{FF2B5EF4-FFF2-40B4-BE49-F238E27FC236}">
              <a16:creationId xmlns:a16="http://schemas.microsoft.com/office/drawing/2014/main" id="{FC764205-08AF-49C6-8915-7A9EA98A293F}"/>
            </a:ext>
          </a:extLst>
        </cdr:cNvPr>
        <cdr:cNvSpPr txBox="1"/>
      </cdr:nvSpPr>
      <cdr:spPr>
        <a:xfrm xmlns:a="http://schemas.openxmlformats.org/drawingml/2006/main">
          <a:off x="56584" y="678789"/>
          <a:ext cx="1222469" cy="20118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Electronic accessories</a:t>
          </a:r>
        </a:p>
      </cdr:txBody>
    </cdr:sp>
  </cdr:relSizeAnchor>
  <cdr:relSizeAnchor xmlns:cdr="http://schemas.openxmlformats.org/drawingml/2006/chartDrawing">
    <cdr:from>
      <cdr:x>0.01325</cdr:x>
      <cdr:y>0.38626</cdr:y>
    </cdr:from>
    <cdr:to>
      <cdr:x>0.36622</cdr:x>
      <cdr:y>0.47184</cdr:y>
    </cdr:to>
    <cdr:sp macro="" textlink="">
      <cdr:nvSpPr>
        <cdr:cNvPr id="4" name="TextBox 3">
          <a:extLst xmlns:a="http://schemas.openxmlformats.org/drawingml/2006/main">
            <a:ext uri="{FF2B5EF4-FFF2-40B4-BE49-F238E27FC236}">
              <a16:creationId xmlns:a16="http://schemas.microsoft.com/office/drawing/2014/main" id="{E4C018E1-ED01-4CCC-951A-3F8D18929AED}"/>
            </a:ext>
          </a:extLst>
        </cdr:cNvPr>
        <cdr:cNvSpPr txBox="1"/>
      </cdr:nvSpPr>
      <cdr:spPr>
        <a:xfrm xmlns:a="http://schemas.openxmlformats.org/drawingml/2006/main">
          <a:off x="44010" y="993145"/>
          <a:ext cx="1172172" cy="2200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Food and Beverages</a:t>
          </a:r>
        </a:p>
      </cdr:txBody>
    </cdr:sp>
  </cdr:relSizeAnchor>
  <cdr:relSizeAnchor xmlns:cdr="http://schemas.openxmlformats.org/drawingml/2006/chartDrawing">
    <cdr:from>
      <cdr:x>0.01704</cdr:x>
      <cdr:y>0.5183</cdr:y>
    </cdr:from>
    <cdr:to>
      <cdr:x>0.34161</cdr:x>
      <cdr:y>0.59899</cdr:y>
    </cdr:to>
    <cdr:sp macro="" textlink="">
      <cdr:nvSpPr>
        <cdr:cNvPr id="5" name="TextBox 4">
          <a:extLst xmlns:a="http://schemas.openxmlformats.org/drawingml/2006/main">
            <a:ext uri="{FF2B5EF4-FFF2-40B4-BE49-F238E27FC236}">
              <a16:creationId xmlns:a16="http://schemas.microsoft.com/office/drawing/2014/main" id="{9F970960-B0B0-4954-B9E7-8319FC0BF352}"/>
            </a:ext>
          </a:extLst>
        </cdr:cNvPr>
        <cdr:cNvSpPr txBox="1"/>
      </cdr:nvSpPr>
      <cdr:spPr>
        <a:xfrm xmlns:a="http://schemas.openxmlformats.org/drawingml/2006/main">
          <a:off x="56585" y="1332649"/>
          <a:ext cx="1077866" cy="20747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Home and Lifestyle</a:t>
          </a:r>
        </a:p>
      </cdr:txBody>
    </cdr:sp>
  </cdr:relSizeAnchor>
  <cdr:relSizeAnchor xmlns:cdr="http://schemas.openxmlformats.org/drawingml/2006/chartDrawing">
    <cdr:from>
      <cdr:x>0.01704</cdr:x>
      <cdr:y>0.64437</cdr:y>
    </cdr:from>
    <cdr:to>
      <cdr:x>0.34267</cdr:x>
      <cdr:y>0.72858</cdr:y>
    </cdr:to>
    <cdr:sp macro="" textlink="">
      <cdr:nvSpPr>
        <cdr:cNvPr id="7" name="TextBox 6">
          <a:extLst xmlns:a="http://schemas.openxmlformats.org/drawingml/2006/main">
            <a:ext uri="{FF2B5EF4-FFF2-40B4-BE49-F238E27FC236}">
              <a16:creationId xmlns:a16="http://schemas.microsoft.com/office/drawing/2014/main" id="{AADCA07C-E1F1-42B6-9C38-721B3313BAC3}"/>
            </a:ext>
          </a:extLst>
        </cdr:cNvPr>
        <cdr:cNvSpPr txBox="1"/>
      </cdr:nvSpPr>
      <cdr:spPr>
        <a:xfrm xmlns:a="http://schemas.openxmlformats.org/drawingml/2006/main">
          <a:off x="56585" y="1656812"/>
          <a:ext cx="1081386" cy="21652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Sport and travel</a:t>
          </a:r>
        </a:p>
      </cdr:txBody>
    </cdr:sp>
  </cdr:relSizeAnchor>
  <cdr:relSizeAnchor xmlns:cdr="http://schemas.openxmlformats.org/drawingml/2006/chartDrawing">
    <cdr:from>
      <cdr:x>0.01893</cdr:x>
      <cdr:y>0.7726</cdr:y>
    </cdr:from>
    <cdr:to>
      <cdr:x>0.37296</cdr:x>
      <cdr:y>0.85573</cdr:y>
    </cdr:to>
    <cdr:sp macro="" textlink="">
      <cdr:nvSpPr>
        <cdr:cNvPr id="8" name="TextBox 7">
          <a:extLst xmlns:a="http://schemas.openxmlformats.org/drawingml/2006/main">
            <a:ext uri="{FF2B5EF4-FFF2-40B4-BE49-F238E27FC236}">
              <a16:creationId xmlns:a16="http://schemas.microsoft.com/office/drawing/2014/main" id="{62A13071-B597-4566-9247-F15468F286C3}"/>
            </a:ext>
          </a:extLst>
        </cdr:cNvPr>
        <cdr:cNvSpPr txBox="1"/>
      </cdr:nvSpPr>
      <cdr:spPr>
        <a:xfrm xmlns:a="http://schemas.openxmlformats.org/drawingml/2006/main">
          <a:off x="62871" y="1986510"/>
          <a:ext cx="1175693" cy="21376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Fashion accessories</a:t>
          </a:r>
        </a:p>
      </cdr:txBody>
    </cdr:sp>
  </cdr:relSizeAnchor>
</c:userShapes>
</file>

<file path=xl/drawings/drawing3.xml><?xml version="1.0" encoding="utf-8"?>
<c:userShapes xmlns:c="http://schemas.openxmlformats.org/drawingml/2006/chart">
  <cdr:relSizeAnchor xmlns:cdr="http://schemas.openxmlformats.org/drawingml/2006/chartDrawing">
    <cdr:from>
      <cdr:x>0.00168</cdr:x>
      <cdr:y>0.37848</cdr:y>
    </cdr:from>
    <cdr:to>
      <cdr:x>0.2515</cdr:x>
      <cdr:y>0.48705</cdr:y>
    </cdr:to>
    <cdr:sp macro="" textlink="">
      <cdr:nvSpPr>
        <cdr:cNvPr id="8" name="TextBox 7">
          <a:extLst xmlns:a="http://schemas.openxmlformats.org/drawingml/2006/main">
            <a:ext uri="{FF2B5EF4-FFF2-40B4-BE49-F238E27FC236}">
              <a16:creationId xmlns:a16="http://schemas.microsoft.com/office/drawing/2014/main" id="{AA9EFB43-F5B0-41E5-9C17-1C7B9A8D82AB}"/>
            </a:ext>
          </a:extLst>
        </cdr:cNvPr>
        <cdr:cNvSpPr txBox="1"/>
      </cdr:nvSpPr>
      <cdr:spPr>
        <a:xfrm xmlns:a="http://schemas.openxmlformats.org/drawingml/2006/main">
          <a:off x="4437" y="597274"/>
          <a:ext cx="661266" cy="17132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Home</a:t>
          </a:r>
          <a:r>
            <a:rPr lang="en-US" sz="1100" baseline="0"/>
            <a:t> and Lifestyle</a:t>
          </a:r>
          <a:endParaRPr lang="en-US" sz="1100"/>
        </a:p>
      </cdr:txBody>
    </cdr:sp>
  </cdr:relSizeAnchor>
  <cdr:relSizeAnchor xmlns:cdr="http://schemas.openxmlformats.org/drawingml/2006/chartDrawing">
    <cdr:from>
      <cdr:x>0</cdr:x>
      <cdr:y>0.24196</cdr:y>
    </cdr:from>
    <cdr:to>
      <cdr:x>0.28242</cdr:x>
      <cdr:y>0.35822</cdr:y>
    </cdr:to>
    <cdr:sp macro="" textlink="">
      <cdr:nvSpPr>
        <cdr:cNvPr id="9" name="TextBox 8">
          <a:extLst xmlns:a="http://schemas.openxmlformats.org/drawingml/2006/main">
            <a:ext uri="{FF2B5EF4-FFF2-40B4-BE49-F238E27FC236}">
              <a16:creationId xmlns:a16="http://schemas.microsoft.com/office/drawing/2014/main" id="{4F0A62A5-799A-42E2-B8ED-42D01E8F945F}"/>
            </a:ext>
          </a:extLst>
        </cdr:cNvPr>
        <cdr:cNvSpPr txBox="1"/>
      </cdr:nvSpPr>
      <cdr:spPr>
        <a:xfrm xmlns:a="http://schemas.openxmlformats.org/drawingml/2006/main">
          <a:off x="0" y="484108"/>
          <a:ext cx="1059003" cy="23262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Sports and travel </a:t>
          </a:r>
        </a:p>
      </cdr:txBody>
    </cdr:sp>
  </cdr:relSizeAnchor>
  <cdr:relSizeAnchor xmlns:cdr="http://schemas.openxmlformats.org/drawingml/2006/chartDrawing">
    <cdr:from>
      <cdr:x>0</cdr:x>
      <cdr:y>0.51219</cdr:y>
    </cdr:from>
    <cdr:to>
      <cdr:x>0.3059</cdr:x>
      <cdr:y>0.66302</cdr:y>
    </cdr:to>
    <cdr:sp macro="" textlink="">
      <cdr:nvSpPr>
        <cdr:cNvPr id="10" name="TextBox 9">
          <a:extLst xmlns:a="http://schemas.openxmlformats.org/drawingml/2006/main">
            <a:ext uri="{FF2B5EF4-FFF2-40B4-BE49-F238E27FC236}">
              <a16:creationId xmlns:a16="http://schemas.microsoft.com/office/drawing/2014/main" id="{8D76CE3F-6EB6-4D22-8FB7-1F1C7D575664}"/>
            </a:ext>
          </a:extLst>
        </cdr:cNvPr>
        <cdr:cNvSpPr txBox="1"/>
      </cdr:nvSpPr>
      <cdr:spPr>
        <a:xfrm xmlns:a="http://schemas.openxmlformats.org/drawingml/2006/main">
          <a:off x="0" y="1024802"/>
          <a:ext cx="1147023" cy="30178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Food annd Beverages</a:t>
          </a:r>
        </a:p>
      </cdr:txBody>
    </cdr:sp>
  </cdr:relSizeAnchor>
  <cdr:relSizeAnchor xmlns:cdr="http://schemas.openxmlformats.org/drawingml/2006/chartDrawing">
    <cdr:from>
      <cdr:x>0</cdr:x>
      <cdr:y>0.6255</cdr:y>
    </cdr:from>
    <cdr:to>
      <cdr:x>0.30087</cdr:x>
      <cdr:y>0.751</cdr:y>
    </cdr:to>
    <cdr:sp macro="" textlink="">
      <cdr:nvSpPr>
        <cdr:cNvPr id="12" name="TextBox 11">
          <a:extLst xmlns:a="http://schemas.openxmlformats.org/drawingml/2006/main">
            <a:ext uri="{FF2B5EF4-FFF2-40B4-BE49-F238E27FC236}">
              <a16:creationId xmlns:a16="http://schemas.microsoft.com/office/drawing/2014/main" id="{0D262EFD-E29A-4E07-B279-57E7D764200B}"/>
            </a:ext>
          </a:extLst>
        </cdr:cNvPr>
        <cdr:cNvSpPr txBox="1"/>
      </cdr:nvSpPr>
      <cdr:spPr>
        <a:xfrm xmlns:a="http://schemas.openxmlformats.org/drawingml/2006/main">
          <a:off x="0" y="987076"/>
          <a:ext cx="796359" cy="19806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Electronic accessories </a:t>
          </a:r>
        </a:p>
      </cdr:txBody>
    </cdr:sp>
  </cdr:relSizeAnchor>
  <cdr:relSizeAnchor xmlns:cdr="http://schemas.openxmlformats.org/drawingml/2006/chartDrawing">
    <cdr:from>
      <cdr:x>0</cdr:x>
      <cdr:y>0.78557</cdr:y>
    </cdr:from>
    <cdr:to>
      <cdr:x>0.32099</cdr:x>
      <cdr:y>0.91755</cdr:y>
    </cdr:to>
    <cdr:sp macro="" textlink="">
      <cdr:nvSpPr>
        <cdr:cNvPr id="13" name="TextBox 12">
          <a:extLst xmlns:a="http://schemas.openxmlformats.org/drawingml/2006/main">
            <a:ext uri="{FF2B5EF4-FFF2-40B4-BE49-F238E27FC236}">
              <a16:creationId xmlns:a16="http://schemas.microsoft.com/office/drawing/2014/main" id="{41657BF2-7E90-4840-ADED-111903C732BA}"/>
            </a:ext>
          </a:extLst>
        </cdr:cNvPr>
        <cdr:cNvSpPr txBox="1"/>
      </cdr:nvSpPr>
      <cdr:spPr>
        <a:xfrm xmlns:a="http://schemas.openxmlformats.org/drawingml/2006/main">
          <a:off x="0" y="1571782"/>
          <a:ext cx="1203607" cy="26405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Health and beauty</a:t>
          </a:r>
        </a:p>
      </cdr:txBody>
    </cdr:sp>
  </cdr:relSizeAnchor>
  <cdr:relSizeAnchor xmlns:cdr="http://schemas.openxmlformats.org/drawingml/2006/chartDrawing">
    <cdr:from>
      <cdr:x>0</cdr:x>
      <cdr:y>0.09163</cdr:y>
    </cdr:from>
    <cdr:to>
      <cdr:x>0.17733</cdr:x>
      <cdr:y>0.2231</cdr:y>
    </cdr:to>
    <cdr:sp macro="" textlink="">
      <cdr:nvSpPr>
        <cdr:cNvPr id="14" name="TextBox 13">
          <a:extLst xmlns:a="http://schemas.openxmlformats.org/drawingml/2006/main">
            <a:ext uri="{FF2B5EF4-FFF2-40B4-BE49-F238E27FC236}">
              <a16:creationId xmlns:a16="http://schemas.microsoft.com/office/drawing/2014/main" id="{4C9D17CD-CBEE-42FD-98FE-2789437A5F06}"/>
            </a:ext>
          </a:extLst>
        </cdr:cNvPr>
        <cdr:cNvSpPr txBox="1"/>
      </cdr:nvSpPr>
      <cdr:spPr>
        <a:xfrm xmlns:a="http://schemas.openxmlformats.org/drawingml/2006/main">
          <a:off x="0" y="144601"/>
          <a:ext cx="469373" cy="20746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Fashion</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48.995522685182" createdVersion="7" refreshedVersion="7" minRefreshableVersion="3" recordCount="1000" xr:uid="{8E2F9707-92F1-4C90-917A-C4A38490AE06}">
  <cacheSource type="worksheet">
    <worksheetSource ref="A1:J1001" sheet="Data"/>
  </cacheSource>
  <cacheFields count="10">
    <cacheField name="Gender" numFmtId="0">
      <sharedItems count="2">
        <s v="Female"/>
        <s v="Male"/>
      </sharedItems>
    </cacheField>
    <cacheField name="Branch" numFmtId="0">
      <sharedItems count="3">
        <s v="A"/>
        <s v="C"/>
        <s v="B"/>
      </sharedItems>
    </cacheField>
    <cacheField name="City" numFmtId="0">
      <sharedItems count="3">
        <s v="Yangon"/>
        <s v="Naypyitaw"/>
        <s v="Mandalay"/>
      </sharedItems>
    </cacheField>
    <cacheField name="Customer type" numFmtId="0">
      <sharedItems count="2">
        <s v="Member"/>
        <s v="Normal"/>
      </sharedItems>
    </cacheField>
    <cacheField name="Product line" numFmtId="0">
      <sharedItems count="6">
        <s v="Health and beauty"/>
        <s v="Electronic accessories"/>
        <s v="Home and lifestyle"/>
        <s v="Food and beverages"/>
        <s v="Fashion accessories"/>
        <s v="Sports and travel"/>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acheField>
    <cacheField name="Tax 5%" numFmtId="0">
      <sharedItems containsSemiMixedTypes="0" containsString="0" containsNumber="1" minValue="1.0660000000000001" maxValue="985"/>
    </cacheField>
    <cacheField name="Sales" numFmtId="0">
      <sharedItems containsSemiMixedTypes="0" containsString="0" containsNumber="1" minValue="10.17" maxValue="993" count="991">
        <n v="522.82999999999993"/>
        <n v="76.399999999999991"/>
        <n v="413.04"/>
        <n v="735.6"/>
        <n v="72.52"/>
        <n v="164.52"/>
        <n v="57.92"/>
        <n v="234.75"/>
        <n v="713.8"/>
        <n v="562.31999999999994"/>
        <n v="482.51000000000005"/>
        <n v="80.599999999999994"/>
        <n v="420.72"/>
        <n v="175.34"/>
        <n v="441.8"/>
        <n v="397.68"/>
        <n v="68.12"/>
        <n v="547.92000000000007"/>
        <n v="439.36"/>
        <n v="86.72"/>
        <n v="414.72"/>
        <n v="789.6"/>
        <n v="375.84"/>
        <n v="180.09"/>
        <n v="826.3"/>
        <n v="222.95000000000002"/>
        <n v="71.48"/>
        <n v="687.84"/>
        <n v="723.5"/>
        <n v="74.22"/>
        <n v="495.63"/>
        <n v="66.94"/>
        <n v="585.66"/>
        <n v="18.329999999999998"/>
        <n v="145.56"/>
        <n v="455.46"/>
        <n v="416.5"/>
        <n v="783.1"/>
        <n v="101.89999999999999"/>
        <n v="595.14"/>
        <n v="290.04000000000002"/>
        <n v="321.44"/>
        <n v="581.42000000000007"/>
        <n v="461.93999999999994"/>
        <n v="189.52"/>
        <n v="448.6"/>
        <n v="153.86000000000001"/>
        <n v="74.699999999999989"/>
        <n v="207.63"/>
        <n v="305.82"/>
        <n v="32.979999999999997"/>
        <n v="294.63"/>
        <n v="509.88"/>
        <n v="727.11"/>
        <n v="81.06"/>
        <n v="109.60000000000001"/>
        <n v="796.48"/>
        <n v="451.76"/>
        <n v="655.82999999999993"/>
        <n v="161.25"/>
        <n v="285.57"/>
        <n v="548.32000000000005"/>
        <n v="812.52"/>
        <n v="277.33999999999997"/>
        <n v="552.78"/>
        <n v="139.36000000000001"/>
        <n v="487.79999999999995"/>
        <n v="131.54999999999998"/>
        <n v="206.52"/>
        <n v="898"/>
        <n v="686"/>
        <n v="30.41"/>
        <n v="467.70000000000005"/>
        <n v="277.56"/>
        <n v="301.39999999999998"/>
        <n v="366.16"/>
        <n v="98.88"/>
        <n v="647.76"/>
        <n v="345.44"/>
        <n v="157.57000000000002"/>
        <n v="86.38"/>
        <n v="755.92"/>
        <n v="279.24"/>
        <n v="231.12"/>
        <n v="147.04"/>
        <n v="790.19999999999993"/>
        <n v="74.290000000000006"/>
        <n v="25.29"/>
        <n v="356.95"/>
        <n v="114.89999999999999"/>
        <n v="229.96"/>
        <n v="207.27"/>
        <n v="599.85"/>
        <n v="285.3"/>
        <n v="91.11"/>
        <n v="897.57"/>
        <n v="839.34"/>
        <n v="207.26999999999998"/>
        <n v="123.85"/>
        <n v="283.92"/>
        <n v="172.02"/>
        <n v="12.54"/>
        <n v="174.32"/>
        <n v="544.20000000000005"/>
        <n v="507.36"/>
        <n v="162.74"/>
        <n v="31.77"/>
        <n v="756.81000000000006"/>
        <n v="186.28"/>
        <n v="221.1"/>
        <n v="66.100000000000009"/>
        <n v="244.20000000000002"/>
        <n v="28.78"/>
        <n v="675.54"/>
        <n v="65.8"/>
        <n v="153.19999999999999"/>
        <n v="222.39999999999998"/>
        <n v="688.80000000000007"/>
        <n v="746"/>
        <n v="355.4"/>
        <n v="337.15000000000003"/>
        <n v="42.24"/>
        <n v="193.85999999999999"/>
        <n v="24.06"/>
        <n v="598.26"/>
        <n v="218.2"/>
        <n v="381.68"/>
        <n v="559.67999999999995"/>
        <n v="15.34"/>
        <n v="190.68"/>
        <n v="213.75"/>
        <n v="339.57"/>
        <n v="664.16"/>
        <n v="62.48"/>
        <n v="72.72"/>
        <n v="259.60000000000002"/>
        <n v="88.61"/>
        <n v="204.76"/>
        <n v="119.68"/>
        <n v="281.60999999999996"/>
        <n v="710.32"/>
        <n v="79.44"/>
        <n v="163.82"/>
        <n v="71.150000000000006"/>
        <n v="139.95000000000002"/>
        <n v="781.3"/>
        <n v="63.239999999999995"/>
        <n v="207.69"/>
        <n v="206.37"/>
        <n v="39.42"/>
        <n v="308.85000000000002"/>
        <n v="142.25"/>
        <n v="347.70000000000005"/>
        <n v="142.94999999999999"/>
        <n v="385.38"/>
        <n v="391.78999999999996"/>
        <n v="538.30000000000007"/>
        <n v="485.15"/>
        <n v="701.37000000000012"/>
        <n v="714"/>
        <n v="135"/>
        <n v="993"/>
        <n v="383.10999999999996"/>
        <n v="30.24"/>
        <n v="356.56"/>
        <n v="375.5"/>
        <n v="954.4"/>
        <n v="755.76"/>
        <n v="164.96"/>
        <n v="326.72000000000003"/>
        <n v="461.88"/>
        <n v="143.6"/>
        <n v="183.82000000000002"/>
        <n v="121.92"/>
        <n v="420.65999999999997"/>
        <n v="335.45000000000005"/>
        <n v="483.5"/>
        <n v="318.42"/>
        <n v="94.6"/>
        <n v="53.22"/>
        <n v="498.45"/>
        <n v="299.56"/>
        <n v="204.7"/>
        <n v="323.2"/>
        <n v="486.63"/>
        <n v="241.44"/>
        <n v="379.5"/>
        <n v="522.6"/>
        <n v="79.739999999999995"/>
        <n v="387.5"/>
        <n v="271.35000000000002"/>
        <n v="246.36"/>
        <n v="236.57999999999998"/>
        <n v="198.75"/>
        <n v="684.53000000000009"/>
        <n v="274.83999999999997"/>
        <n v="226.12"/>
        <n v="119.1"/>
        <n v="342.1"/>
        <n v="181.52"/>
        <n v="81.510000000000005"/>
        <n v="114.44"/>
        <n v="176.54"/>
        <n v="115.80000000000001"/>
        <n v="252.14999999999998"/>
        <n v="972.09999999999991"/>
        <n v="62.61"/>
        <n v="906.5"/>
        <n v="140.76"/>
        <n v="47.44"/>
        <n v="326.88"/>
        <n v="707.44"/>
        <n v="802.89"/>
        <n v="133.70000000000002"/>
        <n v="19.149999999999999"/>
        <n v="27.07"/>
        <n v="39.119999999999997"/>
        <n v="448.26"/>
        <n v="318.05"/>
        <n v="147.79999999999998"/>
        <n v="696.6"/>
        <n v="465.7"/>
        <n v="730.5"/>
        <n v="295.8"/>
        <n v="22.62"/>
        <n v="545.5"/>
        <n v="260.05"/>
        <n v="98.84"/>
        <n v="502.62"/>
        <n v="160.19999999999999"/>
        <n v="322.2"/>
        <n v="166.29999999999998"/>
        <n v="328"/>
        <n v="369.79999999999995"/>
        <n v="197.96"/>
        <n v="410.90000000000003"/>
        <n v="699.12000000000012"/>
        <n v="69.400000000000006"/>
        <n v="196.6"/>
        <n v="202.56"/>
        <n v="121.19999999999999"/>
        <n v="126.44"/>
        <n v="541.43999999999994"/>
        <n v="98.13"/>
        <n v="412.16"/>
        <n v="31.9"/>
        <n v="186.62"/>
        <n v="145.5"/>
        <n v="504.29999999999995"/>
        <n v="95.699999999999989"/>
        <n v="635.17999999999995"/>
        <n v="214.54999999999998"/>
        <n v="379.96000000000004"/>
        <n v="51.47"/>
        <n v="137.13"/>
        <n v="499.02"/>
        <n v="224.64"/>
        <n v="457.04999999999995"/>
        <n v="543.6"/>
        <n v="146.79"/>
        <n v="141.6"/>
        <n v="73.959999999999994"/>
        <n v="292.2"/>
        <n v="524.88"/>
        <n v="80.72"/>
        <n v="71.2"/>
        <n v="294.20000000000005"/>
        <n v="257.7"/>
        <n v="396.36"/>
        <n v="488.79"/>
        <n v="524.16"/>
        <n v="144.08000000000001"/>
        <n v="985.19999999999993"/>
        <n v="217.26"/>
        <n v="339.36"/>
        <n v="812.09999999999991"/>
        <n v="493.29999999999995"/>
        <n v="591.66"/>
        <n v="559.02"/>
        <n v="517.86"/>
        <n v="410.20000000000005"/>
        <n v="257.08"/>
        <n v="310.72000000000003"/>
        <n v="185.96"/>
        <n v="72.319999999999993"/>
        <n v="157.02000000000001"/>
        <n v="215.3"/>
        <n v="169.67999999999998"/>
        <n v="45.58"/>
        <n v="225.60000000000002"/>
        <n v="419.93999999999994"/>
        <n v="184.25"/>
        <n v="140.63999999999999"/>
        <n v="64.989999999999995"/>
        <n v="327.06"/>
        <n v="363.23"/>
        <n v="375.55"/>
        <n v="199.16"/>
        <n v="28.96"/>
        <n v="890.73"/>
        <n v="348.48"/>
        <n v="260.76"/>
        <n v="215.04000000000002"/>
        <n v="91.61"/>
        <n v="662.13"/>
        <n v="832.5"/>
        <n v="157.76"/>
        <n v="12.09"/>
        <n v="46.2"/>
        <n v="88.149999999999991"/>
        <n v="296.37"/>
        <n v="708.4"/>
        <n v="580.16"/>
        <n v="30.98"/>
        <n v="334.86"/>
        <n v="47.07"/>
        <n v="99.69"/>
        <n v="264.45000000000005"/>
        <n v="139.65"/>
        <n v="128.91"/>
        <n v="352.5"/>
        <n v="871"/>
        <n v="197.6"/>
        <n v="194.52"/>
        <n v="71.88"/>
        <n v="286.26"/>
        <n v="81.239999999999995"/>
        <n v="220.23"/>
        <n v="454.79999999999995"/>
        <n v="448.56"/>
        <n v="293.88"/>
        <n v="39.479999999999997"/>
        <n v="34.81"/>
        <n v="295.92"/>
        <n v="138.47999999999999"/>
        <n v="98.2"/>
        <n v="129.66"/>
        <n v="201.29999999999998"/>
        <n v="631.71"/>
        <n v="513.66"/>
        <n v="473.40000000000003"/>
        <n v="436.85"/>
        <n v="108.16"/>
        <n v="483.28"/>
        <n v="197.7"/>
        <n v="795.51"/>
        <n v="172"/>
        <n v="302.12"/>
        <n v="698.67"/>
        <n v="124.64999999999999"/>
        <n v="178.4"/>
        <n v="500.21999999999997"/>
        <n v="104.88"/>
        <n v="178.92"/>
        <n v="815.67"/>
        <n v="257.39000000000004"/>
        <n v="228"/>
        <n v="365.26"/>
        <n v="89.28"/>
        <n v="568.4"/>
        <n v="143.26"/>
        <n v="253.36"/>
        <n v="38.42"/>
        <n v="52.65"/>
        <n v="110.60999999999999"/>
        <n v="136.4"/>
        <n v="174.20000000000002"/>
        <n v="254.61"/>
        <n v="778.32"/>
        <n v="285.92"/>
        <n v="579.12"/>
        <n v="221.56"/>
        <n v="772"/>
        <n v="511.04"/>
        <n v="53.449999999999996"/>
        <n v="763.68"/>
        <n v="228.18"/>
        <n v="382.56"/>
        <n v="68.58"/>
        <n v="382.16"/>
        <n v="601.09"/>
        <n v="475.92999999999995"/>
        <n v="52.42"/>
        <n v="144.30000000000001"/>
        <n v="379.04"/>
        <n v="30.62"/>
        <n v="352.08"/>
        <n v="50.8"/>
        <n v="54.95"/>
        <n v="973.7"/>
        <n v="93.22"/>
        <n v="60.87"/>
        <n v="244.89999999999998"/>
        <n v="241.6"/>
        <n v="440.64"/>
        <n v="680.31000000000006"/>
        <n v="309.88"/>
        <n v="186.36"/>
        <n v="200.92"/>
        <n v="17.75"/>
        <n v="621.79999999999995"/>
        <n v="402.59999999999997"/>
        <n v="324.85000000000002"/>
        <n v="388.96"/>
        <n v="425.68"/>
        <n v="318.08"/>
        <n v="95.36"/>
        <n v="206.13"/>
        <n v="420.56"/>
        <n v="88.04"/>
        <n v="648.99"/>
        <n v="742.2"/>
        <n v="94.8"/>
        <n v="285.10999999999996"/>
        <n v="175.32"/>
        <n v="78.94"/>
        <n v="29.74"/>
        <n v="22.38"/>
        <n v="655.92"/>
        <n v="594.59999999999991"/>
        <n v="196.96"/>
        <n v="527.9"/>
        <n v="479.75"/>
        <n v="328.59"/>
        <n v="113.24"/>
        <n v="428.67"/>
        <n v="86.27"/>
        <n v="101.52"/>
        <n v="357.49"/>
        <n v="238.77"/>
        <n v="125.64"/>
        <n v="214.3"/>
        <n v="720.16"/>
        <n v="96.8"/>
        <n v="332.1"/>
        <n v="81.44"/>
        <n v="166.68"/>
        <n v="734.7"/>
        <n v="97.52"/>
        <n v="418.29999999999995"/>
        <n v="463.28"/>
        <n v="462.45"/>
        <n v="283.62"/>
        <n v="403.56000000000006"/>
        <n v="138.65"/>
        <n v="116.64"/>
        <n v="313.52"/>
        <n v="414.4"/>
        <n v="159.08000000000001"/>
        <n v="490.09999999999997"/>
        <n v="87.449999999999989"/>
        <n v="224.52"/>
        <n v="744.96"/>
        <n v="298.79999999999995"/>
        <n v="212.94"/>
        <n v="378.68"/>
        <n v="78.78"/>
        <n v="322.11"/>
        <n v="98.22"/>
        <n v="25.46"/>
        <n v="581.98"/>
        <n v="211.32"/>
        <n v="55.12"/>
        <n v="356.58"/>
        <n v="794.25"/>
        <n v="166.7"/>
        <n v="744.4"/>
        <n v="378.9"/>
        <n v="552.23"/>
        <n v="447.40000000000003"/>
        <n v="276.27"/>
        <n v="343.74"/>
        <n v="456.8"/>
        <n v="657.16"/>
        <n v="211.44"/>
        <n v="65.699999999999989"/>
        <n v="251.4"/>
        <n v="84.16"/>
        <n v="297.99"/>
        <n v="158"/>
        <n v="887.93999999999994"/>
        <n v="15.5"/>
        <n v="76.540000000000006"/>
        <n v="299.7"/>
        <n v="47.400000000000006"/>
        <n v="172.45000000000002"/>
        <n v="846.3"/>
        <n v="298.64"/>
        <n v="25.45"/>
        <n v="67.77"/>
        <n v="877.32"/>
        <n v="318.55"/>
        <n v="29.52"/>
        <n v="282.8"/>
        <n v="766"/>
        <n v="60.95"/>
        <n v="973.8"/>
        <n v="618.38"/>
        <n v="324.31"/>
        <n v="465.76"/>
        <n v="604.17000000000007"/>
        <n v="597.73"/>
        <n v="102.04"/>
        <n v="431.9"/>
        <n v="435.65999999999997"/>
        <n v="164.01"/>
        <n v="430.20000000000005"/>
        <n v="263.94"/>
        <n v="66.400000000000006"/>
        <n v="172.8"/>
        <n v="265.89"/>
        <n v="33.520000000000003"/>
        <n v="224.01"/>
        <n v="470.65"/>
        <n v="702.62999999999988"/>
        <n v="670.24"/>
        <n v="193.16"/>
        <n v="313.09999999999997"/>
        <n v="240.96"/>
        <n v="112.22"/>
        <n v="30.74"/>
        <n v="510.21"/>
        <n v="113.58"/>
        <n v="639.80000000000007"/>
        <n v="15.43"/>
        <n v="32.32"/>
        <n v="88.68"/>
        <n v="716.8"/>
        <n v="183.66"/>
        <n v="334.38"/>
        <n v="158.1"/>
        <n v="302.95999999999998"/>
        <n v="158.69999999999999"/>
        <n v="787.69999999999993"/>
        <n v="894.80000000000007"/>
        <n v="621.19999999999993"/>
        <n v="672.03"/>
        <n v="441.36"/>
        <n v="154"/>
        <n v="244.54999999999998"/>
        <n v="382.59999999999997"/>
        <n v="345.66"/>
        <n v="42.47"/>
        <n v="579.24"/>
        <n v="89.75"/>
        <n v="97.16"/>
        <n v="878.7"/>
        <n v="158.25"/>
        <n v="496.20000000000005"/>
        <n v="48.71"/>
        <n v="706.94999999999993"/>
        <n v="349.56"/>
        <n v="212.45000000000002"/>
        <n v="886.7"/>
        <n v="164.28"/>
        <n v="372.78000000000003"/>
        <n v="819.7"/>
        <n v="522.63"/>
        <n v="109.7"/>
        <n v="51.36"/>
        <n v="106.88"/>
        <n v="399.84"/>
        <n v="899.64"/>
        <n v="511.28"/>
        <n v="524.70000000000005"/>
        <n v="270.65999999999997"/>
        <n v="519.09999999999991"/>
        <n v="580"/>
        <n v="905"/>
        <n v="264.56"/>
        <n v="574.88"/>
        <n v="259.68"/>
        <n v="241.92000000000002"/>
        <n v="749.16"/>
        <n v="461.45000000000005"/>
        <n v="72.17"/>
        <n v="874.98"/>
        <n v="560.34"/>
        <n v="63.69"/>
        <n v="320.52999999999997"/>
        <n v="152.80000000000001"/>
        <n v="399"/>
        <n v="340.56"/>
        <n v="955.8"/>
        <n v="989.80000000000007"/>
        <n v="307.68"/>
        <n v="486.64"/>
        <n v="350.05"/>
        <n v="400.25"/>
        <n v="166.8"/>
        <n v="317.34000000000003"/>
        <n v="158.32"/>
        <n v="304.56000000000006"/>
        <n v="177.36"/>
        <n v="443.28"/>
        <n v="260.39999999999998"/>
        <n v="449.82000000000005"/>
        <n v="307.76"/>
        <n v="155"/>
        <n v="274.48"/>
        <n v="54.239999999999995"/>
        <n v="185.88"/>
        <n v="74.069999999999993"/>
        <n v="102.2"/>
        <n v="163.55000000000001"/>
        <n v="87.4"/>
        <n v="166"/>
        <n v="429.87"/>
        <n v="259"/>
        <n v="88.85"/>
        <n v="236.07"/>
        <n v="461.8"/>
        <n v="139.26"/>
        <n v="18.28"/>
        <n v="758.96"/>
        <n v="272.10000000000002"/>
        <n v="434.56"/>
        <n v="59.050000000000004"/>
        <n v="86.5"/>
        <n v="624.33000000000004"/>
        <n v="148.24"/>
        <n v="295.27999999999997"/>
        <n v="519.4"/>
        <n v="87.05"/>
        <n v="89.69"/>
        <n v="224.46"/>
        <n v="119.54"/>
        <n v="186.4"/>
        <n v="250.6"/>
        <n v="750.96"/>
        <n v="380.72"/>
        <n v="89.7"/>
        <n v="310.88"/>
        <n v="511.42"/>
        <n v="418.95"/>
        <n v="351.9"/>
        <n v="95"/>
        <n v="471.2"/>
        <n v="130.47999999999999"/>
        <n v="66.349999999999994"/>
        <n v="155.46"/>
        <n v="129"/>
        <n v="263.76"/>
        <n v="54.45"/>
        <n v="141.88"/>
        <n v="282.95999999999998"/>
        <n v="335.78999999999996"/>
        <n v="709.9"/>
        <n v="440.20000000000005"/>
        <n v="37"/>
        <n v="598.98"/>
        <n v="333.40000000000003"/>
        <n v="74.86"/>
        <n v="403"/>
        <n v="194.95000000000002"/>
        <n v="181.1"/>
        <n v="115.36"/>
        <n v="470.28"/>
        <n v="240.04"/>
        <n v="199.64"/>
        <n v="39.01"/>
        <n v="48.61"/>
        <n v="505.40000000000003"/>
        <n v="479.58000000000004"/>
        <n v="138.66"/>
        <n v="198.74"/>
        <n v="373.95000000000005"/>
        <n v="176.28"/>
        <n v="91.56"/>
        <n v="129.12"/>
        <n v="390.96"/>
        <n v="498.9"/>
        <n v="377.04"/>
        <n v="204.52"/>
        <n v="145.44"/>
        <n v="198.18"/>
        <n v="98.699999999999989"/>
        <n v="385.09999999999997"/>
        <n v="46.96"/>
        <n v="73.5"/>
        <n v="687.6"/>
        <n v="144.27000000000001"/>
        <n v="133.94999999999999"/>
        <n v="71.95"/>
        <n v="182.14"/>
        <n v="361.83"/>
        <n v="243"/>
        <n v="82.5"/>
        <n v="74.97"/>
        <n v="647.67999999999995"/>
        <n v="199.58"/>
        <n v="439.32"/>
        <n v="193.5"/>
        <n v="252.48"/>
        <n v="668.43"/>
        <n v="387.92"/>
        <n v="329.32"/>
        <n v="75.819999999999993"/>
        <n v="280.62"/>
        <n v="127.53999999999999"/>
        <n v="76.819999999999993"/>
        <n v="122.31"/>
        <n v="173.16"/>
        <n v="184.88"/>
        <n v="13.98"/>
        <n v="269.04000000000002"/>
        <n v="68.949999999999989"/>
        <n v="43.74"/>
        <n v="104.85"/>
        <n v="77.52"/>
        <n v="407.44"/>
        <n v="96.11"/>
        <n v="203.36"/>
        <n v="16.28"/>
        <n v="365.49"/>
        <n v="372.19"/>
        <n v="336.34999999999997"/>
        <n v="138.16"/>
        <n v="86.54"/>
        <n v="668.78000000000009"/>
        <n v="893.16"/>
        <n v="331.72"/>
        <n v="203.94"/>
        <n v="68.16"/>
        <n v="87.2"/>
        <n v="12.78"/>
        <n v="276.60000000000002"/>
        <n v="137.22"/>
        <n v="132.06"/>
        <n v="25"/>
        <n v="83.08"/>
        <n v="793.9"/>
        <n v="35.89"/>
        <n v="202.60000000000002"/>
        <n v="256.70000000000005"/>
        <n v="222.12"/>
        <n v="21.58"/>
        <n v="431.3"/>
        <n v="580.55999999999995"/>
        <n v="195.54000000000002"/>
        <n v="336.28"/>
        <n v="343.7"/>
        <n v="38.6"/>
        <n v="527.76"/>
        <n v="185.7"/>
        <n v="603.80000000000007"/>
        <n v="148.6"/>
        <n v="22.96"/>
        <n v="199.78"/>
        <n v="607.36"/>
        <n v="73.97"/>
        <n v="138.80000000000001"/>
        <n v="88.45"/>
        <n v="193.44"/>
        <n v="306.45"/>
        <n v="696.85"/>
        <n v="408.73"/>
        <n v="274.3"/>
        <n v="196.95"/>
        <n v="69.459999999999994"/>
        <n v="359.6"/>
        <n v="125.74"/>
        <n v="490.26"/>
        <n v="156.84"/>
        <n v="119.72"/>
        <n v="882.81000000000006"/>
        <n v="152.57999999999998"/>
        <n v="693.44"/>
        <n v="229.5"/>
        <n v="116.69000000000001"/>
        <n v="97.94"/>
        <n v="92.039999999999992"/>
        <n v="75.88"/>
        <n v="112.62"/>
        <n v="155.24"/>
        <n v="548.55000000000007"/>
        <n v="171.81"/>
        <n v="133.26"/>
        <n v="135.24"/>
        <n v="112.44"/>
        <n v="249.95999999999998"/>
        <n v="194.21999999999997"/>
        <n v="892"/>
        <n v="447.06000000000006"/>
        <n v="198.5"/>
        <n v="266.70000000000005"/>
        <n v="70.910000000000011"/>
        <n v="144.78"/>
        <n v="429.54999999999995"/>
        <n v="569.17000000000007"/>
        <n v="241.2"/>
        <n v="127.08"/>
        <n v="139.02000000000001"/>
        <n v="81.66"/>
        <n v="189.18"/>
        <n v="206.84"/>
        <n v="596.1"/>
        <n v="73.099999999999994"/>
        <n v="279.18"/>
        <n v="290.39999999999998"/>
        <n v="44.46"/>
        <n v="156.60000000000002"/>
        <n v="775.6"/>
        <n v="127"/>
        <n v="30.61"/>
        <n v="115.78"/>
        <n v="279.65999999999997"/>
        <n v="80.930000000000007"/>
        <n v="674.5"/>
        <n v="435.59999999999997"/>
        <n v="439.54999999999995"/>
        <n v="591.18000000000006"/>
        <n v="91.35"/>
        <n v="121.74"/>
        <n v="825.8"/>
        <n v="159.89999999999998"/>
        <n v="641.9"/>
        <n v="234.93"/>
        <n v="167.54"/>
        <n v="299.10000000000002"/>
        <n v="239.73"/>
        <n v="664.7"/>
        <n v="202.65"/>
        <n v="157.26"/>
        <n v="111.34"/>
        <n v="60.25"/>
        <n v="174.24"/>
        <n v="421.26"/>
        <n v="33.630000000000003"/>
        <n v="247.39999999999998"/>
        <n v="378.29999999999995"/>
        <n v="727.8"/>
        <n v="335.88"/>
        <n v="240.72"/>
        <n v="55.45"/>
        <n v="119.98"/>
        <n v="173.22"/>
        <n v="560.4"/>
        <n v="186.8"/>
        <n v="269.12"/>
        <n v="589.5"/>
        <n v="291"/>
        <n v="42.96"/>
        <n v="635.6"/>
        <n v="145.76"/>
        <n v="385.28"/>
        <n v="486.3"/>
        <n v="248.76"/>
        <n v="626.22"/>
        <n v="975"/>
        <n v="96.960000000000008"/>
        <n v="724.23"/>
        <n v="502.39"/>
        <n v="68.98"/>
        <n v="124.96"/>
        <n v="77.099999999999994"/>
        <n v="483.72"/>
        <n v="35.82"/>
        <n v="136.14000000000001"/>
        <n v="132.35999999999999"/>
        <n v="93.36"/>
        <n v="166.71"/>
        <n v="697.4"/>
        <n v="389.04"/>
        <n v="168"/>
        <n v="19.7"/>
        <n v="531.16"/>
        <n v="53.72"/>
        <n v="819.5"/>
        <n v="587.6"/>
        <n v="732.48"/>
        <n v="845.64"/>
        <n v="389.27"/>
        <n v="84.83"/>
        <n v="75.38"/>
        <n v="652.30000000000007"/>
        <n v="568.61"/>
        <n v="366.4"/>
        <n v="188.5"/>
        <n v="721.3"/>
        <n v="222"/>
        <n v="82.14"/>
        <n v="131.30000000000001"/>
        <n v="457.17"/>
        <n v="93.38"/>
        <n v="126.25"/>
        <n v="790.83"/>
        <n v="174.4"/>
        <n v="522.05999999999995"/>
        <n v="575.12"/>
        <n v="181.41"/>
        <n v="412.37"/>
        <n v="46.41"/>
        <n v="274.2"/>
        <n v="648.19999999999993"/>
        <n v="54.36"/>
        <n v="92.78"/>
        <n v="433.45"/>
        <n v="138.06"/>
        <n v="471.73"/>
        <n v="86"/>
        <n v="95.15"/>
        <n v="271.04000000000002"/>
        <n v="384.64"/>
        <n v="235.79999999999998"/>
        <n v="211.56"/>
        <n v="10.17"/>
        <n v="123.84"/>
        <n v="649.5"/>
        <n v="84.48"/>
        <n v="250.28"/>
        <n v="91.3"/>
        <n v="52.38"/>
        <n v="192.7"/>
        <n v="267.78000000000003"/>
        <n v="558.69999999999993"/>
        <n v="155.82"/>
        <n v="60.3"/>
        <n v="21.32"/>
        <n v="281.34000000000003"/>
        <n v="73.260000000000005"/>
        <n v="74.099999999999994"/>
        <n v="372.33"/>
        <n v="168.96"/>
        <n v="345.54"/>
        <n v="25.52"/>
        <n v="101.43"/>
        <n v="724.24"/>
        <n v="72.929999999999993"/>
        <n v="258.36"/>
        <n v="173.74"/>
        <n v="56.5"/>
        <n v="534.36"/>
        <n v="93.16"/>
        <n v="522.08000000000004"/>
        <n v="52.35"/>
        <n v="39.75"/>
        <n v="319.89999999999998"/>
        <n v="319.06"/>
        <n v="87.9"/>
        <n v="769.2"/>
        <n v="141.9"/>
        <n v="302.70000000000005"/>
        <n v="793.28"/>
        <n v="425.18"/>
        <n v="599.19999999999993"/>
        <n v="315.36"/>
        <n v="183.88"/>
        <n v="80.709999999999994"/>
        <n v="846.1"/>
        <n v="410.72"/>
        <n v="42.85"/>
        <n v="206.91"/>
        <n v="88.31"/>
        <n v="50.62"/>
        <n v="599.52"/>
        <n v="257.15999999999997"/>
        <n v="266.08"/>
        <n v="898.37999999999988"/>
        <n v="253.95"/>
        <n v="70.56"/>
        <n v="168.5"/>
        <n v="53.78"/>
        <n v="179.05"/>
        <n v="119.72999999999999"/>
        <n v="395.46"/>
        <n v="454.41"/>
        <n v="276.12"/>
        <n v="91.98"/>
        <n v="41.78"/>
        <n v="290.45999999999998"/>
        <n v="66.66"/>
        <n v="243.03000000000003"/>
        <n v="258.37"/>
        <n v="609.55999999999995"/>
        <n v="240.24"/>
        <n v="172.26"/>
        <n v="99.84"/>
        <n v="159.60000000000002"/>
        <n v="238.36"/>
        <n v="232.6"/>
        <n v="699.71999999999991"/>
        <n v="674.59"/>
        <n v="496"/>
        <n v="823.40000000000009"/>
        <n v="602.96"/>
        <n v="116.06"/>
        <n v="174.89999999999998"/>
        <n v="40.35"/>
        <n v="31.84"/>
        <n v="65.819999999999993"/>
      </sharedItems>
    </cacheField>
    <cacheField name="Revenue" numFmtId="0">
      <sharedItems containsSemiMixedTypes="0" containsString="0" containsNumber="1" minValue="15.254999999999999" maxValue="1346.355" count="991">
        <n v="784.24499999999989"/>
        <n v="80.219999999999985"/>
        <n v="433.69200000000001"/>
        <n v="772.38"/>
        <n v="76.146000000000001"/>
        <n v="172.74600000000001"/>
        <n v="60.816000000000003"/>
        <n v="246.48750000000001"/>
        <n v="749.49"/>
        <n v="590.43599999999992"/>
        <n v="723.7650000000001"/>
        <n v="84.63"/>
        <n v="441.75600000000003"/>
        <n v="184.107"/>
        <n v="463.89"/>
        <n v="417.56400000000002"/>
        <n v="71.52600000000001"/>
        <n v="575.31600000000003"/>
        <n v="461.32800000000003"/>
        <n v="91.055999999999997"/>
        <n v="435.45600000000002"/>
        <n v="829.08"/>
        <n v="394.63199999999995"/>
        <n v="189.28450000000001"/>
        <n v="867.61500000000001"/>
        <n v="234.09750000000003"/>
        <n v="75.054000000000002"/>
        <n v="722.23200000000008"/>
        <n v="759.67499999999995"/>
        <n v="77.930999999999997"/>
        <n v="743.44499999999994"/>
        <n v="70.286999999999992"/>
        <n v="614.94299999999998"/>
        <n v="27.494999999999997"/>
        <n v="152.83799999999999"/>
        <n v="478.233"/>
        <n v="437.32499999999999"/>
        <n v="822.255"/>
        <n v="106.99499999999999"/>
        <n v="624.89699999999993"/>
        <n v="304.54200000000003"/>
        <n v="337.512"/>
        <n v="610.4910000000001"/>
        <n v="485.03699999999992"/>
        <n v="198.99600000000001"/>
        <n v="471.03000000000003"/>
        <n v="161.55300000000003"/>
        <n v="78.434999999999988"/>
        <n v="218.01149999999998"/>
        <n v="321.11099999999999"/>
        <n v="34.628999999999998"/>
        <n v="441.94499999999999"/>
        <n v="535.37400000000002"/>
        <n v="1090.665"/>
        <n v="85.113"/>
        <n v="115.08000000000001"/>
        <n v="836.30399999999997"/>
        <n v="474.34800000000001"/>
        <n v="983.74499999999989"/>
        <n v="169.3125"/>
        <n v="428.35500000000002"/>
        <n v="575.7360000000001"/>
        <n v="853.14599999999996"/>
        <n v="291.20699999999999"/>
        <n v="580.41899999999998"/>
        <n v="146.328"/>
        <n v="512.18999999999994"/>
        <n v="138.12749999999997"/>
        <n v="216.846"/>
        <n v="942.9"/>
        <n v="720.3"/>
        <n v="31.930499999999999"/>
        <n v="491.08500000000004"/>
        <n v="291.43799999999999"/>
        <n v="316.46999999999997"/>
        <n v="384.46800000000002"/>
        <n v="103.824"/>
        <n v="680.14800000000002"/>
        <n v="362.71199999999999"/>
        <n v="165.44850000000002"/>
        <n v="90.698999999999998"/>
        <n v="793.71600000000001"/>
        <n v="293.202"/>
        <n v="242.67600000000002"/>
        <n v="154.392"/>
        <n v="829.70999999999992"/>
        <n v="78.004500000000007"/>
        <n v="26.554499999999997"/>
        <n v="535.42499999999995"/>
        <n v="120.645"/>
        <n v="241.458"/>
        <n v="217.6335"/>
        <n v="899.77500000000009"/>
        <n v="299.565"/>
        <n v="95.665499999999994"/>
        <n v="1346.355"/>
        <n v="881.30700000000002"/>
        <n v="217.63349999999997"/>
        <n v="130.04249999999999"/>
        <n v="298.11600000000004"/>
        <n v="180.62100000000001"/>
        <n v="639.54"/>
        <n v="183.036"/>
        <n v="571.41000000000008"/>
        <n v="532.72800000000007"/>
        <n v="170.87700000000001"/>
        <n v="33.358499999999999"/>
        <n v="1135.2150000000001"/>
        <n v="195.59399999999999"/>
        <n v="232.155"/>
        <n v="69.405000000000015"/>
        <n v="256.41000000000003"/>
        <n v="30.219000000000001"/>
        <n v="709.31700000000001"/>
        <n v="69.09"/>
        <n v="160.85999999999999"/>
        <n v="233.51999999999998"/>
        <n v="723.24"/>
        <n v="783.3"/>
        <n v="373.16999999999996"/>
        <n v="505.72500000000002"/>
        <n v="44.352000000000004"/>
        <n v="203.553"/>
        <n v="25.262999999999998"/>
        <n v="628.173"/>
        <n v="229.10999999999999"/>
        <n v="400.76400000000001"/>
        <n v="587.66399999999999"/>
        <n v="782.34"/>
        <n v="200.214"/>
        <n v="224.4375"/>
        <n v="509.35500000000002"/>
        <n v="697.36799999999994"/>
        <n v="65.603999999999999"/>
        <n v="76.355999999999995"/>
        <n v="272.58000000000004"/>
        <n v="93.040499999999994"/>
        <n v="214.99799999999999"/>
        <n v="125.664"/>
        <n v="422.41499999999996"/>
        <n v="745.83600000000001"/>
        <n v="83.411999999999992"/>
        <n v="172.011"/>
        <n v="74.70750000000001"/>
        <n v="146.94750000000002"/>
        <n v="820.36500000000001"/>
        <n v="66.402000000000001"/>
        <n v="218.0745"/>
        <n v="216.6885"/>
        <n v="41.391000000000005"/>
        <n v="463.27500000000003"/>
        <n v="149.36250000000001"/>
        <n v="365.08500000000004"/>
        <n v="150.0975"/>
        <n v="404.649"/>
        <n v="587.68499999999995"/>
        <n v="565.21500000000003"/>
        <n v="727.72499999999991"/>
        <n v="1052.0550000000001"/>
        <n v="749.7"/>
        <n v="141.75"/>
        <n v="1042.6500000000001"/>
        <n v="574.66499999999996"/>
        <n v="31.751999999999999"/>
        <n v="374.38799999999998"/>
        <n v="394.27499999999998"/>
        <n v="1002.12"/>
        <n v="793.548"/>
        <n v="173.208"/>
        <n v="343.05600000000004"/>
        <n v="484.97399999999999"/>
        <n v="150.78"/>
        <n v="193.01100000000002"/>
        <n v="128.01599999999999"/>
        <n v="441.69299999999998"/>
        <n v="503.17500000000007"/>
        <n v="507.67500000000001"/>
        <n v="334.34100000000001"/>
        <n v="99.33"/>
        <n v="55.881"/>
        <n v="747.67499999999995"/>
        <n v="314.53800000000001"/>
        <n v="214.935"/>
        <n v="339.36"/>
        <n v="729.94499999999994"/>
        <n v="253.512"/>
        <n v="398.47500000000002"/>
        <n v="548.73"/>
        <n v="83.72699999999999"/>
        <n v="406.875"/>
        <n v="407.02500000000003"/>
        <n v="258.678"/>
        <n v="248.40899999999999"/>
        <n v="208.6875"/>
        <n v="1026.7950000000001"/>
        <n v="288.58199999999999"/>
        <n v="237.42600000000002"/>
        <n v="125.05499999999999"/>
        <n v="359.20500000000004"/>
        <n v="190.596"/>
        <n v="85.58550000000001"/>
        <n v="120.16199999999999"/>
        <n v="185.36699999999999"/>
        <n v="121.59000000000002"/>
        <n v="264.75749999999999"/>
        <n v="1020.7049999999999"/>
        <n v="65.740499999999997"/>
        <n v="951.82500000000005"/>
        <n v="147.798"/>
        <n v="49.811999999999998"/>
        <n v="343.22399999999999"/>
        <n v="742.81200000000001"/>
        <n v="1204.335"/>
        <n v="140.38500000000002"/>
        <n v="28.724999999999998"/>
        <n v="28.423500000000001"/>
        <n v="41.076000000000001"/>
        <n v="470.673"/>
        <n v="477.07500000000005"/>
        <n v="155.18999999999997"/>
        <n v="731.43000000000006"/>
        <n v="488.98500000000001"/>
        <n v="767.02499999999998"/>
        <n v="310.59000000000003"/>
        <n v="23.751000000000001"/>
        <n v="572.77499999999998"/>
        <n v="390.07500000000005"/>
        <n v="103.78200000000001"/>
        <n v="527.75099999999998"/>
        <n v="168.20999999999998"/>
        <n v="338.31"/>
        <n v="174.61499999999998"/>
        <n v="344.4"/>
        <n v="388.28999999999996"/>
        <n v="207.858"/>
        <n v="431.44500000000005"/>
        <n v="734.07600000000014"/>
        <n v="72.87"/>
        <n v="206.43"/>
        <n v="212.68799999999999"/>
        <n v="127.25999999999999"/>
        <n v="132.762"/>
        <n v="568.51199999999994"/>
        <n v="103.03649999999999"/>
        <n v="432.76800000000003"/>
        <n v="33.494999999999997"/>
        <n v="195.95099999999999"/>
        <n v="152.77500000000001"/>
        <n v="529.51499999999999"/>
        <n v="100.48499999999999"/>
        <n v="666.93899999999996"/>
        <n v="225.27749999999997"/>
        <n v="398.95800000000003"/>
        <n v="54.043500000000002"/>
        <n v="143.98650000000001"/>
        <n v="523.971"/>
        <n v="235.87199999999999"/>
        <n v="685.57499999999993"/>
        <n v="570.78"/>
        <n v="154.12949999999998"/>
        <n v="148.68"/>
        <n v="77.657999999999987"/>
        <n v="306.81"/>
        <n v="551.12400000000002"/>
        <n v="84.756"/>
        <n v="74.760000000000005"/>
        <n v="308.91000000000003"/>
        <n v="270.58499999999998"/>
        <n v="416.178"/>
        <n v="733.18500000000006"/>
        <n v="550.36799999999994"/>
        <n v="151.28400000000002"/>
        <n v="1034.46"/>
        <n v="228.12299999999999"/>
        <n v="356.32800000000003"/>
        <n v="852.70499999999993"/>
        <n v="517.96499999999992"/>
        <n v="621.24299999999994"/>
        <n v="586.971"/>
        <n v="543.75300000000004"/>
        <n v="430.71000000000004"/>
        <n v="269.93399999999997"/>
        <n v="326.25600000000003"/>
        <n v="195.25800000000001"/>
        <n v="75.935999999999993"/>
        <n v="164.87100000000001"/>
        <n v="226.065"/>
        <n v="178.16399999999999"/>
        <n v="47.858999999999995"/>
        <n v="236.88000000000002"/>
        <n v="440.93699999999995"/>
        <n v="193.46250000000001"/>
        <n v="147.672"/>
        <n v="68.239499999999992"/>
        <n v="343.41300000000001"/>
        <n v="544.84500000000003"/>
        <n v="563.32500000000005"/>
        <n v="209.11799999999999"/>
        <n v="30.408000000000001"/>
        <n v="1336.095"/>
        <n v="365.904"/>
        <n v="273.798"/>
        <n v="225.79200000000003"/>
        <n v="96.1905"/>
        <n v="993.19499999999994"/>
        <n v="874.125"/>
        <n v="165.648"/>
        <n v="18.134999999999998"/>
        <n v="48.510000000000005"/>
        <n v="92.55749999999999"/>
        <n v="444.55500000000001"/>
        <n v="743.81999999999994"/>
        <n v="609.16800000000001"/>
        <n v="32.529000000000003"/>
        <n v="351.60300000000001"/>
        <n v="49.423499999999997"/>
        <n v="104.67449999999999"/>
        <n v="396.67500000000007"/>
        <n v="146.63249999999999"/>
        <n v="135.35550000000001"/>
        <n v="370.125"/>
        <n v="914.55"/>
        <n v="207.48"/>
        <n v="204.24600000000001"/>
        <n v="75.47399999999999"/>
        <n v="300.57299999999998"/>
        <n v="85.301999999999992"/>
        <n v="231.2415"/>
        <n v="477.53999999999996"/>
        <n v="470.988"/>
        <n v="308.57400000000001"/>
        <n v="41.453999999999994"/>
        <n v="36.5505"/>
        <n v="310.71600000000001"/>
        <n v="145.404"/>
        <n v="103.11"/>
        <n v="136.143"/>
        <n v="211.36499999999998"/>
        <n v="947.56500000000005"/>
        <n v="539.34299999999996"/>
        <n v="497.07000000000005"/>
        <n v="655.27500000000009"/>
        <n v="113.568"/>
        <n v="507.44399999999996"/>
        <n v="207.58499999999998"/>
        <n v="1193.2649999999999"/>
        <n v="180.6"/>
        <n v="317.226"/>
        <n v="1048.0049999999999"/>
        <n v="130.88249999999999"/>
        <n v="187.32"/>
        <n v="525.23099999999999"/>
        <n v="110.124"/>
        <n v="187.86599999999999"/>
        <n v="1223.5049999999999"/>
        <n v="270.25950000000006"/>
        <n v="239.4"/>
        <n v="383.52299999999997"/>
        <n v="93.744"/>
        <n v="596.81999999999994"/>
        <n v="150.423"/>
        <n v="266.02800000000002"/>
        <n v="40.341000000000001"/>
        <n v="55.282499999999999"/>
        <n v="116.14049999999999"/>
        <n v="143.22"/>
        <n v="182.91000000000003"/>
        <n v="267.34050000000002"/>
        <n v="817.2360000000001"/>
        <n v="300.21600000000001"/>
        <n v="608.07600000000002"/>
        <n v="232.63800000000001"/>
        <n v="810.6"/>
        <n v="536.59199999999998"/>
        <n v="56.122499999999995"/>
        <n v="801.86399999999992"/>
        <n v="239.589"/>
        <n v="401.68799999999999"/>
        <n v="72.009"/>
        <n v="401.26800000000003"/>
        <n v="901.63499999999999"/>
        <n v="713.89499999999998"/>
        <n v="55.041000000000004"/>
        <n v="151.51500000000001"/>
        <n v="397.99200000000002"/>
        <n v="32.151000000000003"/>
        <n v="369.68399999999997"/>
        <n v="53.339999999999996"/>
        <n v="57.697500000000005"/>
        <n v="1022.385"/>
        <n v="97.881"/>
        <n v="63.913499999999999"/>
        <n v="257.14499999999998"/>
        <n v="253.68"/>
        <n v="462.67199999999997"/>
        <n v="1020.465"/>
        <n v="325.37400000000002"/>
        <n v="195.67800000000003"/>
        <n v="210.96599999999998"/>
        <n v="26.625"/>
        <n v="652.89"/>
        <n v="422.72999999999996"/>
        <n v="487.27500000000003"/>
        <n v="408.40799999999996"/>
        <n v="446.964"/>
        <n v="333.98399999999998"/>
        <n v="100.128"/>
        <n v="216.4365"/>
        <n v="441.58800000000002"/>
        <n v="92.442000000000007"/>
        <n v="973.48500000000001"/>
        <n v="779.31000000000006"/>
        <n v="99.539999999999992"/>
        <n v="427.66499999999996"/>
        <n v="184.08599999999998"/>
        <n v="82.887"/>
        <n v="31.226999999999997"/>
        <n v="23.498999999999999"/>
        <n v="688.71600000000001"/>
        <n v="624.32999999999993"/>
        <n v="206.80800000000002"/>
        <n v="554.29499999999996"/>
        <n v="719.625"/>
        <n v="492.88499999999999"/>
        <n v="118.902"/>
        <n v="643.005"/>
        <n v="90.583500000000001"/>
        <n v="106.59599999999999"/>
        <n v="536.23500000000001"/>
        <n v="250.70850000000002"/>
        <n v="131.922"/>
        <n v="225.01500000000001"/>
        <n v="756.16800000000001"/>
        <n v="101.64"/>
        <n v="348.70500000000004"/>
        <n v="85.512"/>
        <n v="175.01400000000001"/>
        <n v="771.43500000000006"/>
        <n v="102.396"/>
        <n v="439.21499999999997"/>
        <n v="486.44399999999996"/>
        <n v="693.67499999999995"/>
        <n v="297.80099999999999"/>
        <n v="423.73800000000006"/>
        <n v="145.58250000000001"/>
        <n v="122.47199999999999"/>
        <n v="329.19599999999997"/>
        <n v="435.12"/>
        <n v="167.03400000000002"/>
        <n v="514.60500000000002"/>
        <n v="91.822499999999991"/>
        <n v="235.74600000000001"/>
        <n v="782.20800000000008"/>
        <n v="313.73999999999995"/>
        <n v="223.58699999999999"/>
        <n v="397.61400000000003"/>
        <n v="82.718999999999994"/>
        <n v="483.16500000000002"/>
        <n v="103.131"/>
        <n v="26.733000000000001"/>
        <n v="611.07900000000006"/>
        <n v="221.886"/>
        <n v="57.875999999999998"/>
        <n v="374.40899999999999"/>
        <n v="1191.375"/>
        <n v="175.035"/>
        <n v="781.62"/>
        <n v="397.84499999999997"/>
        <n v="828.34500000000003"/>
        <n v="469.77000000000004"/>
        <n v="414.40499999999997"/>
        <n v="360.92700000000002"/>
        <n v="479.64"/>
        <n v="690.01799999999992"/>
        <n v="222.012"/>
        <n v="68.984999999999985"/>
        <n v="263.97000000000003"/>
        <n v="88.367999999999995"/>
        <n v="446.98500000000001"/>
        <n v="165.9"/>
        <n v="932.33699999999999"/>
        <n v="790.5"/>
        <n v="80.367000000000004"/>
        <n v="314.685"/>
        <n v="49.77"/>
        <n v="181.07250000000002"/>
        <n v="888.61500000000001"/>
        <n v="313.572"/>
        <n v="26.7225"/>
        <n v="71.158499999999989"/>
        <n v="921.18600000000004"/>
        <n v="477.82500000000005"/>
        <n v="30.995999999999999"/>
        <n v="296.94"/>
        <n v="804.3"/>
        <n v="63.997500000000002"/>
        <n v="1022.49"/>
        <n v="649.29899999999998"/>
        <n v="486.46500000000003"/>
        <n v="489.048"/>
        <n v="906.25500000000011"/>
        <n v="896.59500000000003"/>
        <n v="107.14200000000001"/>
        <n v="453.495"/>
        <n v="457.44299999999998"/>
        <n v="172.2105"/>
        <n v="451.71000000000004"/>
        <n v="277.137"/>
        <n v="69.72"/>
        <n v="181.44"/>
        <n v="398.83499999999998"/>
        <n v="35.196000000000005"/>
        <n v="235.2105"/>
        <n v="705.97499999999991"/>
        <n v="1053.9449999999999"/>
        <n v="703.75199999999995"/>
        <n v="202.81799999999998"/>
        <n v="328.75499999999994"/>
        <n v="253.00800000000001"/>
        <n v="117.831"/>
        <n v="32.277000000000001"/>
        <n v="765.31499999999994"/>
        <n v="119.259"/>
        <n v="671.79000000000008"/>
        <n v="23.145"/>
        <n v="33.936"/>
        <n v="93.114000000000004"/>
        <n v="752.64"/>
        <n v="192.84299999999999"/>
        <n v="351.09899999999999"/>
        <n v="166.005"/>
        <n v="318.108"/>
        <n v="166.63499999999999"/>
        <n v="827.08499999999992"/>
        <n v="939.54000000000008"/>
        <n v="652.25999999999988"/>
        <n v="1008.045"/>
        <n v="463.428"/>
        <n v="161.69999999999999"/>
        <n v="256.77749999999997"/>
        <n v="401.72999999999996"/>
        <n v="362.94300000000004"/>
        <n v="44.593499999999999"/>
        <n v="608.202"/>
        <n v="94.237499999999997"/>
        <n v="102.018"/>
        <n v="922.63499999999999"/>
        <n v="166.16249999999999"/>
        <n v="521.01"/>
        <n v="51.145499999999998"/>
        <n v="1060.425"/>
        <n v="367.03800000000001"/>
        <n v="223.07250000000002"/>
        <n v="931.03500000000008"/>
        <n v="172.494"/>
        <n v="391.41900000000004"/>
        <n v="860.68500000000006"/>
        <n v="783.94499999999994"/>
        <n v="115.185"/>
        <n v="53.927999999999997"/>
        <n v="112.22399999999999"/>
        <n v="419.83199999999999"/>
        <n v="944.62199999999996"/>
        <n v="536.84399999999994"/>
        <n v="550.93500000000006"/>
        <n v="284.19299999999998"/>
        <n v="545.05499999999995"/>
        <n v="609"/>
        <n v="950.25"/>
        <n v="277.78800000000001"/>
        <n v="603.62400000000002"/>
        <n v="272.66399999999999"/>
        <n v="254.01600000000002"/>
        <n v="786.61799999999994"/>
        <n v="692.17500000000007"/>
        <n v="75.778500000000008"/>
        <n v="918.72900000000004"/>
        <n v="588.35700000000008"/>
        <n v="66.874499999999998"/>
        <n v="480.79499999999996"/>
        <n v="160.44"/>
        <n v="418.95"/>
        <n v="357.58800000000002"/>
        <n v="1003.5899999999999"/>
        <n v="1039.29"/>
        <n v="323.06400000000002"/>
        <n v="510.97199999999998"/>
        <n v="525.07500000000005"/>
        <n v="600.375"/>
        <n v="175.14000000000001"/>
        <n v="333.20700000000005"/>
        <n v="166.23599999999999"/>
        <n v="319.78800000000007"/>
        <n v="186.22800000000001"/>
        <n v="465.44399999999996"/>
        <n v="273.41999999999996"/>
        <n v="472.31100000000004"/>
        <n v="323.14799999999997"/>
        <n v="162.75"/>
        <n v="288.20400000000001"/>
        <n v="56.951999999999998"/>
        <n v="195.17400000000001"/>
        <n v="77.773499999999999"/>
        <n v="107.31"/>
        <n v="171.72750000000002"/>
        <n v="91.77000000000001"/>
        <n v="174.3"/>
        <n v="644.80500000000006"/>
        <n v="271.95"/>
        <n v="93.29249999999999"/>
        <n v="247.87349999999998"/>
        <n v="484.89"/>
        <n v="146.22299999999998"/>
        <n v="932.28"/>
        <n v="796.90800000000002"/>
        <n v="285.70500000000004"/>
        <n v="456.28800000000001"/>
        <n v="62.002500000000005"/>
        <n v="90.825000000000003"/>
        <n v="936.49500000000012"/>
        <n v="155.65200000000002"/>
        <n v="310.04399999999998"/>
        <n v="545.37"/>
        <n v="91.402500000000003"/>
        <n v="94.174499999999995"/>
        <n v="235.68300000000002"/>
        <n v="125.51700000000001"/>
        <n v="195.72"/>
        <n v="263.13"/>
        <n v="788.50800000000004"/>
        <n v="399.75600000000003"/>
        <n v="94.185000000000002"/>
        <n v="326.42399999999998"/>
        <n v="536.99099999999999"/>
        <n v="628.42499999999995"/>
        <n v="369.495"/>
        <n v="99.75"/>
        <n v="494.76"/>
        <n v="137.00399999999999"/>
        <n v="69.66749999999999"/>
        <n v="163.233"/>
        <n v="135.44999999999999"/>
        <n v="276.94799999999998"/>
        <n v="57.172499999999999"/>
        <n v="148.97399999999999"/>
        <n v="297.108"/>
        <n v="503.68499999999995"/>
        <n v="745.39499999999998"/>
        <n v="462.21000000000004"/>
        <n v="38.85"/>
        <n v="628.92899999999997"/>
        <n v="350.07000000000005"/>
        <n v="78.602999999999994"/>
        <n v="423.15"/>
        <n v="204.69750000000002"/>
        <n v="190.155"/>
        <n v="121.128"/>
        <n v="493.79399999999998"/>
        <n v="252.042"/>
        <n v="209.62199999999999"/>
        <n v="40.960499999999996"/>
        <n v="51.040500000000002"/>
        <n v="530.67000000000007"/>
        <n v="503.55900000000003"/>
        <n v="145.59299999999999"/>
        <n v="208.67700000000002"/>
        <n v="560.92500000000007"/>
        <n v="185.09399999999999"/>
        <n v="96.138000000000005"/>
        <n v="135.57599999999999"/>
        <n v="410.50799999999998"/>
        <n v="523.84500000000003"/>
        <n v="395.892"/>
        <n v="214.74600000000001"/>
        <n v="152.71199999999999"/>
        <n v="208.089"/>
        <n v="103.63499999999999"/>
        <n v="404.35499999999996"/>
        <n v="49.308"/>
        <n v="77.174999999999997"/>
        <n v="721.98"/>
        <n v="151.48350000000002"/>
        <n v="140.64749999999998"/>
        <n v="75.547499999999999"/>
        <n v="191.24699999999999"/>
        <n v="542.745"/>
        <n v="255.15"/>
        <n v="86.625"/>
        <n v="78.718500000000006"/>
        <n v="680.06399999999996"/>
        <n v="209.55900000000003"/>
        <n v="461.286"/>
        <n v="203.17500000000001"/>
        <n v="265.10399999999998"/>
        <n v="1002.645"/>
        <n v="407.31600000000003"/>
        <n v="345.786"/>
        <n v="79.61099999999999"/>
        <n v="294.65100000000001"/>
        <n v="133.917"/>
        <n v="80.660999999999987"/>
        <n v="128.4255"/>
        <n v="181.81799999999998"/>
        <n v="194.124"/>
        <n v="712.98"/>
        <n v="282.49200000000002"/>
        <n v="72.397499999999994"/>
        <n v="45.927"/>
        <n v="110.0925"/>
        <n v="81.396000000000001"/>
        <n v="427.81200000000001"/>
        <n v="100.91549999999999"/>
        <n v="213.52800000000002"/>
        <n v="830.28"/>
        <n v="548.23500000000001"/>
        <n v="558.28499999999997"/>
        <n v="504.52499999999998"/>
        <n v="145.06799999999998"/>
        <n v="90.867000000000004"/>
        <n v="702.21900000000005"/>
        <n v="937.81799999999998"/>
        <n v="348.30600000000004"/>
        <n v="214.137"/>
        <n v="71.567999999999998"/>
        <n v="91.56"/>
        <n v="651.78"/>
        <n v="290.43"/>
        <n v="144.08099999999999"/>
        <n v="138.66300000000001"/>
        <n v="26.25"/>
        <n v="87.233999999999995"/>
        <n v="833.59500000000003"/>
        <n v="37.6845"/>
        <n v="212.73000000000002"/>
        <n v="269.53500000000003"/>
        <n v="233.226"/>
        <n v="22.658999999999999"/>
        <n v="452.86500000000001"/>
        <n v="609.58799999999997"/>
        <n v="205.31700000000001"/>
        <n v="353.09399999999999"/>
        <n v="360.88499999999999"/>
        <n v="40.53"/>
        <n v="554.14800000000002"/>
        <n v="194.98499999999999"/>
        <n v="633.99000000000012"/>
        <n v="156.03"/>
        <n v="24.108000000000001"/>
        <n v="209.76900000000001"/>
        <n v="637.72800000000007"/>
        <n v="77.668499999999995"/>
        <n v="145.74"/>
        <n v="92.872500000000002"/>
        <n v="203.11199999999999"/>
        <n v="459.67499999999995"/>
        <n v="1045.2750000000001"/>
        <n v="613.09500000000003"/>
        <n v="288.01499999999999"/>
        <n v="206.79749999999999"/>
        <n v="72.932999999999993"/>
        <n v="377.58000000000004"/>
        <n v="132.02699999999999"/>
        <n v="514.77300000000002"/>
        <n v="164.68200000000002"/>
        <n v="125.706"/>
        <n v="1324.2150000000001"/>
        <n v="160.20899999999997"/>
        <n v="728.11200000000008"/>
        <n v="240.97499999999999"/>
        <n v="122.52450000000002"/>
        <n v="102.837"/>
        <n v="96.641999999999996"/>
        <n v="79.673999999999992"/>
        <n v="118.251"/>
        <n v="163.00200000000001"/>
        <n v="822.82500000000005"/>
        <n v="180.40049999999999"/>
        <n v="139.923"/>
        <n v="142.00200000000001"/>
        <n v="118.062"/>
        <n v="262.45799999999997"/>
        <n v="203.93099999999998"/>
        <n v="936.6"/>
        <n v="469.41300000000007"/>
        <n v="208.42500000000001"/>
        <n v="280.03500000000003"/>
        <n v="74.455500000000015"/>
        <n v="152.01900000000001"/>
        <n v="644.32499999999993"/>
        <n v="853.75500000000011"/>
        <n v="253.26"/>
        <n v="133.434"/>
        <n v="145.971"/>
        <n v="85.742999999999995"/>
        <n v="198.63900000000001"/>
        <n v="217.18200000000002"/>
        <n v="625.90499999999997"/>
        <n v="76.754999999999995"/>
        <n v="293.13900000000001"/>
        <n v="304.91999999999996"/>
        <n v="46.683"/>
        <n v="164.43000000000004"/>
        <n v="814.38"/>
        <n v="133.35"/>
        <n v="32.140500000000003"/>
        <n v="121.569"/>
        <n v="293.64299999999997"/>
        <n v="84.976500000000001"/>
        <n v="708.22500000000002"/>
        <n v="457.38"/>
        <n v="659.32499999999993"/>
        <n v="620.73900000000003"/>
        <n v="95.91749999999999"/>
        <n v="127.827"/>
        <n v="867.08999999999992"/>
        <n v="167.89499999999998"/>
        <n v="673.995"/>
        <n v="246.6765"/>
        <n v="175.917"/>
        <n v="314.05500000000001"/>
        <n v="251.7165"/>
        <n v="697.93500000000006"/>
        <n v="212.7825"/>
        <n v="165.12299999999999"/>
        <n v="116.90700000000001"/>
        <n v="63.262500000000003"/>
        <n v="182.952"/>
        <n v="442.32299999999998"/>
        <n v="35.311500000000002"/>
        <n v="259.77"/>
        <n v="397.21499999999997"/>
        <n v="764.18999999999994"/>
        <n v="352.67399999999998"/>
        <n v="252.756"/>
        <n v="58.222500000000004"/>
        <n v="125.979"/>
        <n v="181.881"/>
        <n v="588.41999999999996"/>
        <n v="196.14000000000001"/>
        <n v="282.57600000000002"/>
        <n v="618.97500000000002"/>
        <n v="305.55"/>
        <n v="45.108000000000004"/>
        <n v="667.38"/>
        <n v="153.048"/>
        <n v="404.54399999999998"/>
        <n v="510.61500000000001"/>
        <n v="261.19799999999998"/>
        <n v="657.53100000000006"/>
        <n v="1023.75"/>
        <n v="101.80800000000001"/>
        <n v="1086.345"/>
        <n v="753.58500000000004"/>
        <n v="72.429000000000002"/>
        <n v="131.208"/>
        <n v="80.954999999999998"/>
        <n v="507.90600000000001"/>
        <n v="37.610999999999997"/>
        <n v="142.947"/>
        <n v="138.97799999999998"/>
        <n v="98.028000000000006"/>
        <n v="175.0455"/>
        <n v="732.27"/>
        <n v="408.49200000000002"/>
        <n v="176.4"/>
        <n v="1004.7"/>
        <n v="557.71799999999996"/>
        <n v="56.405999999999999"/>
        <n v="860.47500000000002"/>
        <n v="616.98"/>
        <n v="769.10400000000004"/>
        <n v="887.92200000000003"/>
        <n v="583.90499999999997"/>
        <n v="89.0715"/>
        <n v="79.149000000000001"/>
        <n v="684.91500000000008"/>
        <n v="852.91499999999996"/>
        <n v="384.71999999999997"/>
        <n v="197.92500000000001"/>
        <n v="757.36500000000001"/>
        <n v="233.1"/>
        <n v="86.247"/>
        <n v="137.86500000000001"/>
        <n v="685.755"/>
        <n v="98.048999999999992"/>
        <n v="132.5625"/>
        <n v="1186.2450000000001"/>
        <n v="183.12"/>
        <n v="548.1629999999999"/>
        <n v="603.87599999999998"/>
        <n v="190.48050000000001"/>
        <n v="618.55500000000006"/>
        <n v="48.730499999999999"/>
        <n v="287.90999999999997"/>
        <n v="680.6099999999999"/>
        <n v="57.078000000000003"/>
        <n v="97.418999999999997"/>
        <n v="650.17499999999995"/>
        <n v="144.96299999999999"/>
        <n v="707.59500000000003"/>
        <n v="90.3"/>
        <n v="99.907499999999999"/>
        <n v="284.59200000000004"/>
        <n v="403.87199999999996"/>
        <n v="247.58999999999997"/>
        <n v="222.13800000000001"/>
        <n v="15.254999999999999"/>
        <n v="130.03200000000001"/>
        <n v="681.97500000000002"/>
        <n v="88.704000000000008"/>
        <n v="262.79399999999998"/>
        <n v="95.864999999999995"/>
        <n v="54.999000000000002"/>
        <n v="202.33499999999998"/>
        <n v="281.16900000000004"/>
        <n v="586.63499999999988"/>
        <n v="163.61099999999999"/>
        <n v="63.314999999999998"/>
        <n v="22.385999999999999"/>
        <n v="295.40700000000004"/>
        <n v="76.923000000000002"/>
        <n v="77.804999999999993"/>
        <n v="558.495"/>
        <n v="177.40800000000002"/>
        <n v="362.81700000000001"/>
        <n v="26.795999999999999"/>
        <n v="106.50150000000001"/>
        <n v="760.452"/>
        <n v="76.576499999999996"/>
        <n v="271.27800000000002"/>
        <n v="182.42700000000002"/>
        <n v="59.325000000000003"/>
        <n v="561.07799999999997"/>
        <n v="97.817999999999998"/>
        <n v="548.18400000000008"/>
        <n v="54.967500000000001"/>
        <n v="41.737499999999997"/>
        <n v="335.89499999999998"/>
        <n v="335.01299999999998"/>
        <n v="92.295000000000002"/>
        <n v="807.66000000000008"/>
        <n v="148.995"/>
        <n v="317.83500000000004"/>
        <n v="832.94399999999996"/>
        <n v="446.43900000000002"/>
        <n v="629.16"/>
        <n v="331.12800000000004"/>
        <n v="193.07399999999998"/>
        <n v="84.745499999999993"/>
        <n v="888.40499999999997"/>
        <n v="431.25600000000003"/>
        <n v="44.9925"/>
        <n v="217.25549999999998"/>
        <n v="92.725499999999997"/>
        <n v="53.150999999999996"/>
        <n v="629.49599999999998"/>
        <n v="270.01799999999997"/>
        <n v="279.38399999999996"/>
        <n v="943.29899999999986"/>
        <n v="266.64749999999998"/>
        <n v="74.088000000000008"/>
        <n v="176.92500000000001"/>
        <n v="56.469000000000001"/>
        <n v="188.0025"/>
        <n v="125.7165"/>
        <n v="415.233"/>
        <n v="681.61500000000001"/>
        <n v="289.92599999999999"/>
        <n v="96.579000000000008"/>
        <n v="43.869"/>
        <n v="304.983"/>
        <n v="69.992999999999995"/>
        <n v="255.18150000000003"/>
        <n v="271.2885"/>
        <n v="640.0379999999999"/>
        <n v="252.25200000000001"/>
        <n v="180.87299999999999"/>
        <n v="104.83200000000001"/>
        <n v="167.58"/>
        <n v="250.27800000000002"/>
        <n v="244.23"/>
        <n v="734.7059999999999"/>
        <n v="1011.885"/>
        <n v="520.79999999999995"/>
        <n v="864.57"/>
        <n v="633.10800000000006"/>
        <n v="121.863"/>
        <n v="183.64499999999998"/>
        <n v="42.3675"/>
        <n v="33.432000000000002"/>
        <n v="69.11099999999999"/>
      </sharedItems>
    </cacheField>
  </cacheFields>
  <extLst>
    <ext xmlns:x14="http://schemas.microsoft.com/office/spreadsheetml/2009/9/main" uri="{725AE2AE-9491-48be-B2B4-4EB974FC3084}">
      <x14:pivotCacheDefinition pivotCacheId="9653745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n v="74.69"/>
    <n v="7"/>
    <n v="261.41500000000002"/>
    <x v="0"/>
    <x v="0"/>
  </r>
  <r>
    <x v="0"/>
    <x v="1"/>
    <x v="1"/>
    <x v="1"/>
    <x v="1"/>
    <n v="15.28"/>
    <n v="5"/>
    <n v="3.82"/>
    <x v="1"/>
    <x v="1"/>
  </r>
  <r>
    <x v="0"/>
    <x v="0"/>
    <x v="0"/>
    <x v="0"/>
    <x v="1"/>
    <n v="68.84"/>
    <n v="6"/>
    <n v="20.652000000000001"/>
    <x v="2"/>
    <x v="2"/>
  </r>
  <r>
    <x v="0"/>
    <x v="1"/>
    <x v="1"/>
    <x v="1"/>
    <x v="2"/>
    <n v="73.56"/>
    <n v="10"/>
    <n v="36.78"/>
    <x v="3"/>
    <x v="3"/>
  </r>
  <r>
    <x v="0"/>
    <x v="0"/>
    <x v="0"/>
    <x v="0"/>
    <x v="0"/>
    <n v="36.26"/>
    <n v="2"/>
    <n v="3.6259999999999999"/>
    <x v="4"/>
    <x v="4"/>
  </r>
  <r>
    <x v="0"/>
    <x v="2"/>
    <x v="2"/>
    <x v="0"/>
    <x v="3"/>
    <n v="54.84"/>
    <n v="3"/>
    <n v="8.2260000000000009"/>
    <x v="5"/>
    <x v="5"/>
  </r>
  <r>
    <x v="0"/>
    <x v="2"/>
    <x v="2"/>
    <x v="0"/>
    <x v="4"/>
    <n v="14.48"/>
    <n v="4"/>
    <n v="2.8959999999999999"/>
    <x v="6"/>
    <x v="6"/>
  </r>
  <r>
    <x v="0"/>
    <x v="0"/>
    <x v="0"/>
    <x v="1"/>
    <x v="1"/>
    <n v="46.95"/>
    <n v="5"/>
    <n v="11.737500000000001"/>
    <x v="7"/>
    <x v="7"/>
  </r>
  <r>
    <x v="0"/>
    <x v="0"/>
    <x v="0"/>
    <x v="1"/>
    <x v="0"/>
    <n v="71.38"/>
    <n v="10"/>
    <n v="35.69"/>
    <x v="8"/>
    <x v="8"/>
  </r>
  <r>
    <x v="0"/>
    <x v="2"/>
    <x v="2"/>
    <x v="0"/>
    <x v="5"/>
    <n v="93.72"/>
    <n v="6"/>
    <n v="28.116"/>
    <x v="9"/>
    <x v="9"/>
  </r>
  <r>
    <x v="0"/>
    <x v="0"/>
    <x v="0"/>
    <x v="0"/>
    <x v="0"/>
    <n v="68.930000000000007"/>
    <n v="7"/>
    <n v="241.255"/>
    <x v="10"/>
    <x v="10"/>
  </r>
  <r>
    <x v="0"/>
    <x v="2"/>
    <x v="2"/>
    <x v="1"/>
    <x v="2"/>
    <n v="40.299999999999997"/>
    <n v="2"/>
    <n v="4.03"/>
    <x v="11"/>
    <x v="11"/>
  </r>
  <r>
    <x v="0"/>
    <x v="0"/>
    <x v="0"/>
    <x v="0"/>
    <x v="2"/>
    <n v="52.59"/>
    <n v="8"/>
    <n v="21.036000000000001"/>
    <x v="12"/>
    <x v="12"/>
  </r>
  <r>
    <x v="0"/>
    <x v="0"/>
    <x v="0"/>
    <x v="1"/>
    <x v="4"/>
    <n v="87.67"/>
    <n v="2"/>
    <n v="8.7669999999999995"/>
    <x v="13"/>
    <x v="13"/>
  </r>
  <r>
    <x v="0"/>
    <x v="2"/>
    <x v="2"/>
    <x v="1"/>
    <x v="3"/>
    <n v="88.36"/>
    <n v="5"/>
    <n v="22.09"/>
    <x v="14"/>
    <x v="14"/>
  </r>
  <r>
    <x v="0"/>
    <x v="1"/>
    <x v="1"/>
    <x v="0"/>
    <x v="3"/>
    <n v="99.42"/>
    <n v="4"/>
    <n v="19.884"/>
    <x v="15"/>
    <x v="15"/>
  </r>
  <r>
    <x v="0"/>
    <x v="1"/>
    <x v="1"/>
    <x v="0"/>
    <x v="5"/>
    <n v="68.12"/>
    <n v="1"/>
    <n v="3.4060000000000001"/>
    <x v="16"/>
    <x v="16"/>
  </r>
  <r>
    <x v="0"/>
    <x v="0"/>
    <x v="0"/>
    <x v="1"/>
    <x v="1"/>
    <n v="60.88"/>
    <n v="9"/>
    <n v="27.396000000000001"/>
    <x v="17"/>
    <x v="17"/>
  </r>
  <r>
    <x v="0"/>
    <x v="1"/>
    <x v="1"/>
    <x v="1"/>
    <x v="0"/>
    <n v="54.92"/>
    <n v="8"/>
    <n v="21.968"/>
    <x v="18"/>
    <x v="18"/>
  </r>
  <r>
    <x v="0"/>
    <x v="2"/>
    <x v="2"/>
    <x v="0"/>
    <x v="2"/>
    <n v="86.72"/>
    <n v="1"/>
    <n v="4.3360000000000003"/>
    <x v="19"/>
    <x v="19"/>
  </r>
  <r>
    <x v="0"/>
    <x v="2"/>
    <x v="2"/>
    <x v="0"/>
    <x v="5"/>
    <n v="69.12"/>
    <n v="6"/>
    <n v="20.736000000000001"/>
    <x v="20"/>
    <x v="20"/>
  </r>
  <r>
    <x v="0"/>
    <x v="1"/>
    <x v="1"/>
    <x v="0"/>
    <x v="3"/>
    <n v="98.7"/>
    <n v="8"/>
    <n v="39.479999999999997"/>
    <x v="21"/>
    <x v="21"/>
  </r>
  <r>
    <x v="0"/>
    <x v="2"/>
    <x v="2"/>
    <x v="0"/>
    <x v="1"/>
    <n v="93.96"/>
    <n v="4"/>
    <n v="18.792000000000002"/>
    <x v="22"/>
    <x v="22"/>
  </r>
  <r>
    <x v="0"/>
    <x v="2"/>
    <x v="2"/>
    <x v="0"/>
    <x v="3"/>
    <n v="20.010000000000002"/>
    <n v="9"/>
    <n v="9.1944999999999997"/>
    <x v="23"/>
    <x v="23"/>
  </r>
  <r>
    <x v="0"/>
    <x v="1"/>
    <x v="1"/>
    <x v="0"/>
    <x v="4"/>
    <n v="82.63"/>
    <n v="10"/>
    <n v="41.314999999999998"/>
    <x v="24"/>
    <x v="24"/>
  </r>
  <r>
    <x v="0"/>
    <x v="0"/>
    <x v="0"/>
    <x v="0"/>
    <x v="3"/>
    <n v="44.59"/>
    <n v="5"/>
    <n v="11.147500000000001"/>
    <x v="25"/>
    <x v="25"/>
  </r>
  <r>
    <x v="0"/>
    <x v="2"/>
    <x v="2"/>
    <x v="0"/>
    <x v="4"/>
    <n v="17.87"/>
    <n v="4"/>
    <n v="3.5739999999999998"/>
    <x v="26"/>
    <x v="26"/>
  </r>
  <r>
    <x v="0"/>
    <x v="1"/>
    <x v="1"/>
    <x v="1"/>
    <x v="1"/>
    <n v="85.98"/>
    <n v="8"/>
    <n v="34.392000000000003"/>
    <x v="27"/>
    <x v="27"/>
  </r>
  <r>
    <x v="0"/>
    <x v="0"/>
    <x v="0"/>
    <x v="0"/>
    <x v="2"/>
    <n v="72.349999999999994"/>
    <n v="10"/>
    <n v="36.174999999999997"/>
    <x v="28"/>
    <x v="28"/>
  </r>
  <r>
    <x v="0"/>
    <x v="1"/>
    <x v="1"/>
    <x v="0"/>
    <x v="5"/>
    <n v="24.74"/>
    <n v="3"/>
    <n v="3.7109999999999999"/>
    <x v="29"/>
    <x v="29"/>
  </r>
  <r>
    <x v="0"/>
    <x v="2"/>
    <x v="2"/>
    <x v="0"/>
    <x v="5"/>
    <n v="55.07"/>
    <n v="9"/>
    <n v="247.815"/>
    <x v="30"/>
    <x v="30"/>
  </r>
  <r>
    <x v="0"/>
    <x v="1"/>
    <x v="1"/>
    <x v="1"/>
    <x v="0"/>
    <n v="33.47"/>
    <n v="2"/>
    <n v="3.347"/>
    <x v="31"/>
    <x v="31"/>
  </r>
  <r>
    <x v="0"/>
    <x v="2"/>
    <x v="2"/>
    <x v="0"/>
    <x v="4"/>
    <n v="97.61"/>
    <n v="6"/>
    <n v="29.283000000000001"/>
    <x v="32"/>
    <x v="32"/>
  </r>
  <r>
    <x v="0"/>
    <x v="0"/>
    <x v="0"/>
    <x v="0"/>
    <x v="0"/>
    <n v="18.329999999999998"/>
    <n v="1"/>
    <n v="9.1649999999999991"/>
    <x v="33"/>
    <x v="33"/>
  </r>
  <r>
    <x v="0"/>
    <x v="2"/>
    <x v="2"/>
    <x v="0"/>
    <x v="3"/>
    <n v="48.52"/>
    <n v="3"/>
    <n v="7.2779999999999996"/>
    <x v="34"/>
    <x v="34"/>
  </r>
  <r>
    <x v="0"/>
    <x v="1"/>
    <x v="1"/>
    <x v="1"/>
    <x v="1"/>
    <n v="75.91"/>
    <n v="6"/>
    <n v="22.773"/>
    <x v="35"/>
    <x v="35"/>
  </r>
  <r>
    <x v="0"/>
    <x v="1"/>
    <x v="1"/>
    <x v="1"/>
    <x v="1"/>
    <n v="41.65"/>
    <n v="10"/>
    <n v="20.824999999999999"/>
    <x v="36"/>
    <x v="36"/>
  </r>
  <r>
    <x v="0"/>
    <x v="0"/>
    <x v="0"/>
    <x v="0"/>
    <x v="4"/>
    <n v="20.010000000000002"/>
    <n v="9"/>
    <n v="9.1944999999999997"/>
    <x v="23"/>
    <x v="23"/>
  </r>
  <r>
    <x v="0"/>
    <x v="1"/>
    <x v="1"/>
    <x v="0"/>
    <x v="3"/>
    <n v="78.31"/>
    <n v="10"/>
    <n v="39.155000000000001"/>
    <x v="37"/>
    <x v="37"/>
  </r>
  <r>
    <x v="0"/>
    <x v="1"/>
    <x v="1"/>
    <x v="1"/>
    <x v="0"/>
    <n v="20.38"/>
    <n v="5"/>
    <n v="5.0949999999999998"/>
    <x v="38"/>
    <x v="38"/>
  </r>
  <r>
    <x v="0"/>
    <x v="1"/>
    <x v="1"/>
    <x v="1"/>
    <x v="0"/>
    <n v="99.19"/>
    <n v="6"/>
    <n v="29.757000000000001"/>
    <x v="39"/>
    <x v="39"/>
  </r>
  <r>
    <x v="0"/>
    <x v="2"/>
    <x v="2"/>
    <x v="1"/>
    <x v="3"/>
    <n v="96.68"/>
    <n v="3"/>
    <n v="14.502000000000001"/>
    <x v="40"/>
    <x v="40"/>
  </r>
  <r>
    <x v="0"/>
    <x v="1"/>
    <x v="1"/>
    <x v="0"/>
    <x v="3"/>
    <n v="80.36"/>
    <n v="4"/>
    <n v="16.071999999999999"/>
    <x v="41"/>
    <x v="41"/>
  </r>
  <r>
    <x v="0"/>
    <x v="1"/>
    <x v="1"/>
    <x v="1"/>
    <x v="5"/>
    <n v="83.06"/>
    <n v="7"/>
    <n v="29.071000000000002"/>
    <x v="42"/>
    <x v="42"/>
  </r>
  <r>
    <x v="0"/>
    <x v="2"/>
    <x v="2"/>
    <x v="1"/>
    <x v="0"/>
    <n v="76.989999999999995"/>
    <n v="6"/>
    <n v="23.097000000000001"/>
    <x v="43"/>
    <x v="43"/>
  </r>
  <r>
    <x v="0"/>
    <x v="1"/>
    <x v="1"/>
    <x v="0"/>
    <x v="2"/>
    <n v="47.38"/>
    <n v="4"/>
    <n v="9.4760000000000009"/>
    <x v="44"/>
    <x v="44"/>
  </r>
  <r>
    <x v="0"/>
    <x v="1"/>
    <x v="1"/>
    <x v="1"/>
    <x v="5"/>
    <n v="44.86"/>
    <n v="10"/>
    <n v="22.43"/>
    <x v="45"/>
    <x v="45"/>
  </r>
  <r>
    <x v="0"/>
    <x v="0"/>
    <x v="0"/>
    <x v="0"/>
    <x v="5"/>
    <n v="21.98"/>
    <n v="7"/>
    <n v="7.6929999999999996"/>
    <x v="46"/>
    <x v="46"/>
  </r>
  <r>
    <x v="0"/>
    <x v="1"/>
    <x v="1"/>
    <x v="1"/>
    <x v="1"/>
    <n v="12.45"/>
    <n v="6"/>
    <n v="3.7349999999999999"/>
    <x v="47"/>
    <x v="47"/>
  </r>
  <r>
    <x v="0"/>
    <x v="1"/>
    <x v="1"/>
    <x v="1"/>
    <x v="1"/>
    <n v="23.07"/>
    <n v="9"/>
    <n v="10.381500000000001"/>
    <x v="48"/>
    <x v="48"/>
  </r>
  <r>
    <x v="0"/>
    <x v="1"/>
    <x v="1"/>
    <x v="1"/>
    <x v="3"/>
    <n v="33.979999999999997"/>
    <n v="9"/>
    <n v="15.291"/>
    <x v="49"/>
    <x v="49"/>
  </r>
  <r>
    <x v="0"/>
    <x v="2"/>
    <x v="2"/>
    <x v="0"/>
    <x v="5"/>
    <n v="16.489999999999998"/>
    <n v="2"/>
    <n v="1.649"/>
    <x v="50"/>
    <x v="50"/>
  </r>
  <r>
    <x v="0"/>
    <x v="1"/>
    <x v="1"/>
    <x v="0"/>
    <x v="0"/>
    <n v="98.21"/>
    <n v="3"/>
    <n v="147.315"/>
    <x v="51"/>
    <x v="51"/>
  </r>
  <r>
    <x v="0"/>
    <x v="2"/>
    <x v="2"/>
    <x v="1"/>
    <x v="4"/>
    <n v="72.84"/>
    <n v="7"/>
    <n v="25.494"/>
    <x v="52"/>
    <x v="52"/>
  </r>
  <r>
    <x v="0"/>
    <x v="1"/>
    <x v="1"/>
    <x v="0"/>
    <x v="2"/>
    <n v="80.790000000000006"/>
    <n v="9"/>
    <n v="363.55500000000001"/>
    <x v="53"/>
    <x v="53"/>
  </r>
  <r>
    <x v="0"/>
    <x v="1"/>
    <x v="1"/>
    <x v="1"/>
    <x v="4"/>
    <n v="27.02"/>
    <n v="3"/>
    <n v="4.0529999999999999"/>
    <x v="54"/>
    <x v="54"/>
  </r>
  <r>
    <x v="0"/>
    <x v="0"/>
    <x v="0"/>
    <x v="1"/>
    <x v="3"/>
    <n v="10.96"/>
    <n v="10"/>
    <n v="5.48"/>
    <x v="55"/>
    <x v="55"/>
  </r>
  <r>
    <x v="0"/>
    <x v="0"/>
    <x v="0"/>
    <x v="1"/>
    <x v="1"/>
    <n v="99.56"/>
    <n v="8"/>
    <n v="39.823999999999998"/>
    <x v="56"/>
    <x v="56"/>
  </r>
  <r>
    <x v="0"/>
    <x v="2"/>
    <x v="2"/>
    <x v="0"/>
    <x v="4"/>
    <n v="56.47"/>
    <n v="8"/>
    <n v="22.588000000000001"/>
    <x v="57"/>
    <x v="57"/>
  </r>
  <r>
    <x v="0"/>
    <x v="0"/>
    <x v="0"/>
    <x v="1"/>
    <x v="2"/>
    <n v="93.69"/>
    <n v="7"/>
    <n v="327.91500000000002"/>
    <x v="58"/>
    <x v="58"/>
  </r>
  <r>
    <x v="0"/>
    <x v="0"/>
    <x v="0"/>
    <x v="1"/>
    <x v="5"/>
    <n v="32.25"/>
    <n v="5"/>
    <n v="8.0625"/>
    <x v="59"/>
    <x v="59"/>
  </r>
  <r>
    <x v="0"/>
    <x v="1"/>
    <x v="1"/>
    <x v="1"/>
    <x v="4"/>
    <n v="31.73"/>
    <n v="9"/>
    <n v="142.785"/>
    <x v="60"/>
    <x v="60"/>
  </r>
  <r>
    <x v="0"/>
    <x v="1"/>
    <x v="1"/>
    <x v="0"/>
    <x v="3"/>
    <n v="68.540000000000006"/>
    <n v="8"/>
    <n v="27.416"/>
    <x v="61"/>
    <x v="61"/>
  </r>
  <r>
    <x v="0"/>
    <x v="2"/>
    <x v="2"/>
    <x v="1"/>
    <x v="5"/>
    <n v="90.28"/>
    <n v="9"/>
    <n v="40.625999999999998"/>
    <x v="62"/>
    <x v="62"/>
  </r>
  <r>
    <x v="0"/>
    <x v="2"/>
    <x v="2"/>
    <x v="1"/>
    <x v="4"/>
    <n v="39.619999999999997"/>
    <n v="7"/>
    <n v="13.867000000000001"/>
    <x v="63"/>
    <x v="63"/>
  </r>
  <r>
    <x v="0"/>
    <x v="0"/>
    <x v="0"/>
    <x v="0"/>
    <x v="5"/>
    <n v="92.13"/>
    <n v="6"/>
    <n v="27.638999999999999"/>
    <x v="64"/>
    <x v="64"/>
  </r>
  <r>
    <x v="0"/>
    <x v="2"/>
    <x v="2"/>
    <x v="1"/>
    <x v="5"/>
    <n v="34.840000000000003"/>
    <n v="4"/>
    <n v="6.968"/>
    <x v="65"/>
    <x v="65"/>
  </r>
  <r>
    <x v="0"/>
    <x v="1"/>
    <x v="1"/>
    <x v="1"/>
    <x v="0"/>
    <n v="81.3"/>
    <n v="6"/>
    <n v="24.39"/>
    <x v="66"/>
    <x v="66"/>
  </r>
  <r>
    <x v="0"/>
    <x v="0"/>
    <x v="0"/>
    <x v="1"/>
    <x v="1"/>
    <n v="26.31"/>
    <n v="5"/>
    <n v="6.5774999999999997"/>
    <x v="67"/>
    <x v="67"/>
  </r>
  <r>
    <x v="0"/>
    <x v="0"/>
    <x v="0"/>
    <x v="0"/>
    <x v="2"/>
    <n v="34.42"/>
    <n v="6"/>
    <n v="10.326000000000001"/>
    <x v="68"/>
    <x v="68"/>
  </r>
  <r>
    <x v="0"/>
    <x v="1"/>
    <x v="1"/>
    <x v="0"/>
    <x v="5"/>
    <n v="89.8"/>
    <n v="10"/>
    <n v="44.9"/>
    <x v="69"/>
    <x v="69"/>
  </r>
  <r>
    <x v="0"/>
    <x v="1"/>
    <x v="1"/>
    <x v="0"/>
    <x v="0"/>
    <n v="68.599999999999994"/>
    <n v="10"/>
    <n v="34.299999999999997"/>
    <x v="70"/>
    <x v="70"/>
  </r>
  <r>
    <x v="0"/>
    <x v="1"/>
    <x v="1"/>
    <x v="0"/>
    <x v="3"/>
    <n v="30.41"/>
    <n v="1"/>
    <n v="1.5205"/>
    <x v="71"/>
    <x v="71"/>
  </r>
  <r>
    <x v="0"/>
    <x v="0"/>
    <x v="0"/>
    <x v="1"/>
    <x v="2"/>
    <n v="77.95"/>
    <n v="6"/>
    <n v="23.385000000000002"/>
    <x v="72"/>
    <x v="72"/>
  </r>
  <r>
    <x v="0"/>
    <x v="1"/>
    <x v="1"/>
    <x v="1"/>
    <x v="0"/>
    <n v="46.26"/>
    <n v="6"/>
    <n v="13.878"/>
    <x v="73"/>
    <x v="73"/>
  </r>
  <r>
    <x v="0"/>
    <x v="0"/>
    <x v="0"/>
    <x v="0"/>
    <x v="4"/>
    <n v="30.14"/>
    <n v="10"/>
    <n v="15.07"/>
    <x v="74"/>
    <x v="74"/>
  </r>
  <r>
    <x v="0"/>
    <x v="2"/>
    <x v="2"/>
    <x v="0"/>
    <x v="4"/>
    <n v="91.54"/>
    <n v="4"/>
    <n v="18.308"/>
    <x v="75"/>
    <x v="75"/>
  </r>
  <r>
    <x v="0"/>
    <x v="1"/>
    <x v="1"/>
    <x v="1"/>
    <x v="3"/>
    <n v="16.48"/>
    <n v="6"/>
    <n v="4.944"/>
    <x v="76"/>
    <x v="76"/>
  </r>
  <r>
    <x v="0"/>
    <x v="1"/>
    <x v="1"/>
    <x v="1"/>
    <x v="5"/>
    <n v="80.97"/>
    <n v="8"/>
    <n v="32.387999999999998"/>
    <x v="77"/>
    <x v="77"/>
  </r>
  <r>
    <x v="0"/>
    <x v="1"/>
    <x v="1"/>
    <x v="1"/>
    <x v="3"/>
    <n v="43.18"/>
    <n v="8"/>
    <n v="17.271999999999998"/>
    <x v="78"/>
    <x v="78"/>
  </r>
  <r>
    <x v="0"/>
    <x v="1"/>
    <x v="1"/>
    <x v="1"/>
    <x v="4"/>
    <n v="22.51"/>
    <n v="7"/>
    <n v="7.8784999999999998"/>
    <x v="79"/>
    <x v="79"/>
  </r>
  <r>
    <x v="0"/>
    <x v="0"/>
    <x v="0"/>
    <x v="1"/>
    <x v="5"/>
    <n v="12.34"/>
    <n v="7"/>
    <n v="4.319"/>
    <x v="80"/>
    <x v="80"/>
  </r>
  <r>
    <x v="0"/>
    <x v="2"/>
    <x v="2"/>
    <x v="0"/>
    <x v="2"/>
    <n v="94.49"/>
    <n v="8"/>
    <n v="37.795999999999999"/>
    <x v="81"/>
    <x v="81"/>
  </r>
  <r>
    <x v="0"/>
    <x v="1"/>
    <x v="1"/>
    <x v="1"/>
    <x v="2"/>
    <n v="69.81"/>
    <n v="4"/>
    <n v="13.962"/>
    <x v="82"/>
    <x v="82"/>
  </r>
  <r>
    <x v="0"/>
    <x v="2"/>
    <x v="2"/>
    <x v="1"/>
    <x v="2"/>
    <n v="77.040000000000006"/>
    <n v="3"/>
    <n v="11.555999999999999"/>
    <x v="83"/>
    <x v="83"/>
  </r>
  <r>
    <x v="0"/>
    <x v="2"/>
    <x v="2"/>
    <x v="1"/>
    <x v="4"/>
    <n v="73.52"/>
    <n v="2"/>
    <n v="7.3520000000000003"/>
    <x v="84"/>
    <x v="84"/>
  </r>
  <r>
    <x v="0"/>
    <x v="1"/>
    <x v="1"/>
    <x v="1"/>
    <x v="3"/>
    <n v="87.8"/>
    <n v="9"/>
    <n v="39.51"/>
    <x v="85"/>
    <x v="85"/>
  </r>
  <r>
    <x v="0"/>
    <x v="1"/>
    <x v="1"/>
    <x v="0"/>
    <x v="4"/>
    <n v="74.290000000000006"/>
    <n v="1"/>
    <n v="3.7145000000000001"/>
    <x v="86"/>
    <x v="86"/>
  </r>
  <r>
    <x v="0"/>
    <x v="0"/>
    <x v="0"/>
    <x v="1"/>
    <x v="2"/>
    <n v="25.29"/>
    <n v="1"/>
    <n v="1.2645"/>
    <x v="87"/>
    <x v="87"/>
  </r>
  <r>
    <x v="0"/>
    <x v="1"/>
    <x v="1"/>
    <x v="0"/>
    <x v="3"/>
    <n v="71.39"/>
    <n v="5"/>
    <n v="178.47499999999999"/>
    <x v="88"/>
    <x v="88"/>
  </r>
  <r>
    <x v="0"/>
    <x v="1"/>
    <x v="1"/>
    <x v="0"/>
    <x v="5"/>
    <n v="19.149999999999999"/>
    <n v="6"/>
    <n v="5.7450000000000001"/>
    <x v="89"/>
    <x v="89"/>
  </r>
  <r>
    <x v="0"/>
    <x v="2"/>
    <x v="2"/>
    <x v="0"/>
    <x v="1"/>
    <n v="57.49"/>
    <n v="4"/>
    <n v="11.497999999999999"/>
    <x v="90"/>
    <x v="90"/>
  </r>
  <r>
    <x v="0"/>
    <x v="0"/>
    <x v="0"/>
    <x v="1"/>
    <x v="0"/>
    <n v="23.03"/>
    <n v="9"/>
    <n v="10.3635"/>
    <x v="91"/>
    <x v="91"/>
  </r>
  <r>
    <x v="0"/>
    <x v="1"/>
    <x v="1"/>
    <x v="0"/>
    <x v="1"/>
    <n v="66.650000000000006"/>
    <n v="9"/>
    <n v="299.92500000000001"/>
    <x v="92"/>
    <x v="92"/>
  </r>
  <r>
    <x v="0"/>
    <x v="1"/>
    <x v="1"/>
    <x v="0"/>
    <x v="2"/>
    <n v="28.53"/>
    <n v="10"/>
    <n v="14.265000000000001"/>
    <x v="93"/>
    <x v="93"/>
  </r>
  <r>
    <x v="0"/>
    <x v="2"/>
    <x v="2"/>
    <x v="1"/>
    <x v="4"/>
    <n v="30.37"/>
    <n v="3"/>
    <n v="4.5555000000000003"/>
    <x v="94"/>
    <x v="94"/>
  </r>
  <r>
    <x v="0"/>
    <x v="2"/>
    <x v="2"/>
    <x v="1"/>
    <x v="1"/>
    <n v="99.73"/>
    <n v="9"/>
    <n v="448.78500000000003"/>
    <x v="95"/>
    <x v="95"/>
  </r>
  <r>
    <x v="0"/>
    <x v="1"/>
    <x v="1"/>
    <x v="1"/>
    <x v="3"/>
    <n v="93.26"/>
    <n v="9"/>
    <n v="41.966999999999999"/>
    <x v="96"/>
    <x v="96"/>
  </r>
  <r>
    <x v="0"/>
    <x v="2"/>
    <x v="2"/>
    <x v="0"/>
    <x v="5"/>
    <n v="29.61"/>
    <n v="7"/>
    <n v="10.3635"/>
    <x v="97"/>
    <x v="97"/>
  </r>
  <r>
    <x v="0"/>
    <x v="2"/>
    <x v="2"/>
    <x v="1"/>
    <x v="5"/>
    <n v="24.77"/>
    <n v="5"/>
    <n v="6.1924999999999999"/>
    <x v="98"/>
    <x v="98"/>
  </r>
  <r>
    <x v="0"/>
    <x v="0"/>
    <x v="0"/>
    <x v="0"/>
    <x v="1"/>
    <n v="94.64"/>
    <n v="3"/>
    <n v="14.196"/>
    <x v="99"/>
    <x v="99"/>
  </r>
  <r>
    <x v="0"/>
    <x v="2"/>
    <x v="2"/>
    <x v="1"/>
    <x v="3"/>
    <n v="57.34"/>
    <n v="3"/>
    <n v="8.6010000000000009"/>
    <x v="100"/>
    <x v="100"/>
  </r>
  <r>
    <x v="0"/>
    <x v="1"/>
    <x v="1"/>
    <x v="0"/>
    <x v="4"/>
    <n v="12.54"/>
    <n v="1"/>
    <n v="627"/>
    <x v="101"/>
    <x v="101"/>
  </r>
  <r>
    <x v="0"/>
    <x v="1"/>
    <x v="1"/>
    <x v="0"/>
    <x v="5"/>
    <n v="87.16"/>
    <n v="2"/>
    <n v="8.7159999999999993"/>
    <x v="102"/>
    <x v="102"/>
  </r>
  <r>
    <x v="0"/>
    <x v="2"/>
    <x v="2"/>
    <x v="0"/>
    <x v="1"/>
    <n v="90.7"/>
    <n v="6"/>
    <n v="27.21"/>
    <x v="103"/>
    <x v="103"/>
  </r>
  <r>
    <x v="0"/>
    <x v="0"/>
    <x v="0"/>
    <x v="1"/>
    <x v="2"/>
    <n v="63.42"/>
    <n v="8"/>
    <n v="25.367999999999999"/>
    <x v="104"/>
    <x v="104"/>
  </r>
  <r>
    <x v="0"/>
    <x v="2"/>
    <x v="2"/>
    <x v="1"/>
    <x v="4"/>
    <n v="81.37"/>
    <n v="2"/>
    <n v="8.1370000000000005"/>
    <x v="105"/>
    <x v="105"/>
  </r>
  <r>
    <x v="0"/>
    <x v="2"/>
    <x v="2"/>
    <x v="0"/>
    <x v="1"/>
    <n v="10.59"/>
    <n v="3"/>
    <n v="1.5885"/>
    <x v="106"/>
    <x v="106"/>
  </r>
  <r>
    <x v="0"/>
    <x v="2"/>
    <x v="2"/>
    <x v="1"/>
    <x v="0"/>
    <n v="84.09"/>
    <n v="9"/>
    <n v="378.40499999999997"/>
    <x v="107"/>
    <x v="107"/>
  </r>
  <r>
    <x v="0"/>
    <x v="0"/>
    <x v="0"/>
    <x v="1"/>
    <x v="5"/>
    <n v="93.14"/>
    <n v="2"/>
    <n v="9.3140000000000001"/>
    <x v="108"/>
    <x v="108"/>
  </r>
  <r>
    <x v="0"/>
    <x v="1"/>
    <x v="1"/>
    <x v="0"/>
    <x v="4"/>
    <n v="44.22"/>
    <n v="5"/>
    <n v="11.055"/>
    <x v="109"/>
    <x v="109"/>
  </r>
  <r>
    <x v="0"/>
    <x v="2"/>
    <x v="2"/>
    <x v="0"/>
    <x v="1"/>
    <n v="13.22"/>
    <n v="5"/>
    <n v="3.3050000000000002"/>
    <x v="110"/>
    <x v="110"/>
  </r>
  <r>
    <x v="0"/>
    <x v="2"/>
    <x v="2"/>
    <x v="0"/>
    <x v="1"/>
    <n v="81.400000000000006"/>
    <n v="3"/>
    <n v="12.21"/>
    <x v="111"/>
    <x v="111"/>
  </r>
  <r>
    <x v="0"/>
    <x v="1"/>
    <x v="1"/>
    <x v="1"/>
    <x v="5"/>
    <n v="14.39"/>
    <n v="2"/>
    <n v="1.4390000000000001"/>
    <x v="112"/>
    <x v="112"/>
  </r>
  <r>
    <x v="0"/>
    <x v="0"/>
    <x v="0"/>
    <x v="1"/>
    <x v="1"/>
    <n v="75.06"/>
    <n v="9"/>
    <n v="33.777000000000001"/>
    <x v="113"/>
    <x v="113"/>
  </r>
  <r>
    <x v="0"/>
    <x v="1"/>
    <x v="1"/>
    <x v="1"/>
    <x v="4"/>
    <n v="16.45"/>
    <n v="4"/>
    <n v="3.29"/>
    <x v="114"/>
    <x v="114"/>
  </r>
  <r>
    <x v="0"/>
    <x v="2"/>
    <x v="2"/>
    <x v="0"/>
    <x v="4"/>
    <n v="38.299999999999997"/>
    <n v="4"/>
    <n v="7.66"/>
    <x v="115"/>
    <x v="115"/>
  </r>
  <r>
    <x v="0"/>
    <x v="0"/>
    <x v="0"/>
    <x v="0"/>
    <x v="5"/>
    <n v="22.24"/>
    <n v="10"/>
    <n v="11.12"/>
    <x v="116"/>
    <x v="116"/>
  </r>
  <r>
    <x v="0"/>
    <x v="0"/>
    <x v="0"/>
    <x v="0"/>
    <x v="5"/>
    <n v="98.4"/>
    <n v="7"/>
    <n v="34.44"/>
    <x v="117"/>
    <x v="117"/>
  </r>
  <r>
    <x v="0"/>
    <x v="2"/>
    <x v="2"/>
    <x v="0"/>
    <x v="3"/>
    <n v="74.599999999999994"/>
    <n v="10"/>
    <n v="37.299999999999997"/>
    <x v="118"/>
    <x v="118"/>
  </r>
  <r>
    <x v="0"/>
    <x v="0"/>
    <x v="0"/>
    <x v="0"/>
    <x v="2"/>
    <n v="35.54"/>
    <n v="10"/>
    <n v="17.77"/>
    <x v="119"/>
    <x v="119"/>
  </r>
  <r>
    <x v="0"/>
    <x v="2"/>
    <x v="2"/>
    <x v="1"/>
    <x v="5"/>
    <n v="67.430000000000007"/>
    <n v="5"/>
    <n v="168.57499999999999"/>
    <x v="120"/>
    <x v="120"/>
  </r>
  <r>
    <x v="0"/>
    <x v="1"/>
    <x v="1"/>
    <x v="0"/>
    <x v="0"/>
    <n v="21.12"/>
    <n v="2"/>
    <n v="2.1120000000000001"/>
    <x v="121"/>
    <x v="121"/>
  </r>
  <r>
    <x v="0"/>
    <x v="0"/>
    <x v="0"/>
    <x v="0"/>
    <x v="2"/>
    <n v="21.54"/>
    <n v="9"/>
    <n v="9.6929999999999996"/>
    <x v="122"/>
    <x v="122"/>
  </r>
  <r>
    <x v="0"/>
    <x v="0"/>
    <x v="0"/>
    <x v="1"/>
    <x v="2"/>
    <n v="12.03"/>
    <n v="2"/>
    <n v="1.2030000000000001"/>
    <x v="123"/>
    <x v="123"/>
  </r>
  <r>
    <x v="0"/>
    <x v="2"/>
    <x v="2"/>
    <x v="1"/>
    <x v="0"/>
    <n v="99.71"/>
    <n v="6"/>
    <n v="29.913"/>
    <x v="124"/>
    <x v="124"/>
  </r>
  <r>
    <x v="0"/>
    <x v="1"/>
    <x v="1"/>
    <x v="0"/>
    <x v="2"/>
    <n v="21.82"/>
    <n v="10"/>
    <n v="10.91"/>
    <x v="125"/>
    <x v="125"/>
  </r>
  <r>
    <x v="0"/>
    <x v="1"/>
    <x v="1"/>
    <x v="1"/>
    <x v="4"/>
    <n v="95.42"/>
    <n v="4"/>
    <n v="19.084"/>
    <x v="126"/>
    <x v="126"/>
  </r>
  <r>
    <x v="0"/>
    <x v="0"/>
    <x v="0"/>
    <x v="1"/>
    <x v="2"/>
    <n v="69.959999999999994"/>
    <n v="8"/>
    <n v="27.984000000000002"/>
    <x v="127"/>
    <x v="127"/>
  </r>
  <r>
    <x v="0"/>
    <x v="0"/>
    <x v="0"/>
    <x v="1"/>
    <x v="5"/>
    <n v="15.34"/>
    <n v="1"/>
    <n v="767"/>
    <x v="128"/>
    <x v="128"/>
  </r>
  <r>
    <x v="0"/>
    <x v="0"/>
    <x v="0"/>
    <x v="0"/>
    <x v="0"/>
    <n v="47.67"/>
    <n v="4"/>
    <n v="9.5340000000000007"/>
    <x v="129"/>
    <x v="129"/>
  </r>
  <r>
    <x v="0"/>
    <x v="1"/>
    <x v="1"/>
    <x v="1"/>
    <x v="5"/>
    <n v="23.75"/>
    <n v="9"/>
    <n v="10.6875"/>
    <x v="130"/>
    <x v="130"/>
  </r>
  <r>
    <x v="0"/>
    <x v="2"/>
    <x v="2"/>
    <x v="1"/>
    <x v="3"/>
    <n v="48.51"/>
    <n v="7"/>
    <n v="169.785"/>
    <x v="131"/>
    <x v="131"/>
  </r>
  <r>
    <x v="0"/>
    <x v="0"/>
    <x v="0"/>
    <x v="0"/>
    <x v="2"/>
    <n v="94.88"/>
    <n v="7"/>
    <n v="33.207999999999998"/>
    <x v="132"/>
    <x v="132"/>
  </r>
  <r>
    <x v="0"/>
    <x v="0"/>
    <x v="0"/>
    <x v="0"/>
    <x v="1"/>
    <n v="62.48"/>
    <n v="1"/>
    <n v="3.1240000000000001"/>
    <x v="133"/>
    <x v="133"/>
  </r>
  <r>
    <x v="0"/>
    <x v="0"/>
    <x v="0"/>
    <x v="0"/>
    <x v="3"/>
    <n v="36.36"/>
    <n v="2"/>
    <n v="3.6360000000000001"/>
    <x v="134"/>
    <x v="134"/>
  </r>
  <r>
    <x v="0"/>
    <x v="1"/>
    <x v="1"/>
    <x v="0"/>
    <x v="1"/>
    <n v="51.92"/>
    <n v="5"/>
    <n v="12.98"/>
    <x v="135"/>
    <x v="135"/>
  </r>
  <r>
    <x v="0"/>
    <x v="1"/>
    <x v="1"/>
    <x v="0"/>
    <x v="2"/>
    <n v="88.61"/>
    <n v="1"/>
    <n v="4.4305000000000003"/>
    <x v="136"/>
    <x v="136"/>
  </r>
  <r>
    <x v="0"/>
    <x v="0"/>
    <x v="0"/>
    <x v="1"/>
    <x v="1"/>
    <n v="51.19"/>
    <n v="4"/>
    <n v="10.238"/>
    <x v="137"/>
    <x v="137"/>
  </r>
  <r>
    <x v="0"/>
    <x v="2"/>
    <x v="2"/>
    <x v="1"/>
    <x v="1"/>
    <n v="14.96"/>
    <n v="8"/>
    <n v="5.984"/>
    <x v="138"/>
    <x v="138"/>
  </r>
  <r>
    <x v="0"/>
    <x v="0"/>
    <x v="0"/>
    <x v="1"/>
    <x v="5"/>
    <n v="40.229999999999997"/>
    <n v="7"/>
    <n v="140.80500000000001"/>
    <x v="139"/>
    <x v="139"/>
  </r>
  <r>
    <x v="0"/>
    <x v="0"/>
    <x v="0"/>
    <x v="0"/>
    <x v="2"/>
    <n v="88.79"/>
    <n v="8"/>
    <n v="35.515999999999998"/>
    <x v="140"/>
    <x v="140"/>
  </r>
  <r>
    <x v="0"/>
    <x v="0"/>
    <x v="0"/>
    <x v="0"/>
    <x v="1"/>
    <n v="26.48"/>
    <n v="3"/>
    <n v="3.972"/>
    <x v="141"/>
    <x v="141"/>
  </r>
  <r>
    <x v="0"/>
    <x v="0"/>
    <x v="0"/>
    <x v="1"/>
    <x v="4"/>
    <n v="81.91"/>
    <n v="2"/>
    <n v="8.1910000000000007"/>
    <x v="142"/>
    <x v="142"/>
  </r>
  <r>
    <x v="0"/>
    <x v="0"/>
    <x v="0"/>
    <x v="0"/>
    <x v="3"/>
    <n v="14.23"/>
    <n v="5"/>
    <n v="3.5575000000000001"/>
    <x v="143"/>
    <x v="143"/>
  </r>
  <r>
    <x v="0"/>
    <x v="0"/>
    <x v="0"/>
    <x v="0"/>
    <x v="0"/>
    <n v="15.55"/>
    <n v="9"/>
    <n v="6.9974999999999996"/>
    <x v="144"/>
    <x v="144"/>
  </r>
  <r>
    <x v="0"/>
    <x v="1"/>
    <x v="1"/>
    <x v="0"/>
    <x v="1"/>
    <n v="78.13"/>
    <n v="10"/>
    <n v="39.064999999999998"/>
    <x v="145"/>
    <x v="145"/>
  </r>
  <r>
    <x v="0"/>
    <x v="1"/>
    <x v="1"/>
    <x v="0"/>
    <x v="3"/>
    <n v="21.08"/>
    <n v="3"/>
    <n v="3.1619999999999999"/>
    <x v="146"/>
    <x v="146"/>
  </r>
  <r>
    <x v="0"/>
    <x v="1"/>
    <x v="1"/>
    <x v="0"/>
    <x v="0"/>
    <n v="29.67"/>
    <n v="7"/>
    <n v="10.384499999999999"/>
    <x v="147"/>
    <x v="147"/>
  </r>
  <r>
    <x v="0"/>
    <x v="1"/>
    <x v="1"/>
    <x v="1"/>
    <x v="3"/>
    <n v="22.93"/>
    <n v="9"/>
    <n v="10.3185"/>
    <x v="148"/>
    <x v="148"/>
  </r>
  <r>
    <x v="0"/>
    <x v="1"/>
    <x v="1"/>
    <x v="1"/>
    <x v="0"/>
    <n v="39.42"/>
    <n v="1"/>
    <n v="1.9710000000000001"/>
    <x v="149"/>
    <x v="149"/>
  </r>
  <r>
    <x v="0"/>
    <x v="0"/>
    <x v="0"/>
    <x v="1"/>
    <x v="4"/>
    <n v="61.77"/>
    <n v="5"/>
    <n v="154.42500000000001"/>
    <x v="150"/>
    <x v="150"/>
  </r>
  <r>
    <x v="0"/>
    <x v="0"/>
    <x v="0"/>
    <x v="0"/>
    <x v="1"/>
    <n v="28.45"/>
    <n v="5"/>
    <n v="7.1124999999999998"/>
    <x v="151"/>
    <x v="151"/>
  </r>
  <r>
    <x v="0"/>
    <x v="2"/>
    <x v="2"/>
    <x v="1"/>
    <x v="5"/>
    <n v="57.95"/>
    <n v="6"/>
    <n v="17.385000000000002"/>
    <x v="152"/>
    <x v="152"/>
  </r>
  <r>
    <x v="0"/>
    <x v="1"/>
    <x v="1"/>
    <x v="1"/>
    <x v="1"/>
    <n v="47.65"/>
    <n v="3"/>
    <n v="7.1475"/>
    <x v="153"/>
    <x v="153"/>
  </r>
  <r>
    <x v="0"/>
    <x v="2"/>
    <x v="2"/>
    <x v="0"/>
    <x v="3"/>
    <n v="42.82"/>
    <n v="9"/>
    <n v="19.268999999999998"/>
    <x v="154"/>
    <x v="154"/>
  </r>
  <r>
    <x v="0"/>
    <x v="2"/>
    <x v="2"/>
    <x v="0"/>
    <x v="0"/>
    <n v="55.97"/>
    <n v="7"/>
    <n v="195.89500000000001"/>
    <x v="155"/>
    <x v="155"/>
  </r>
  <r>
    <x v="0"/>
    <x v="2"/>
    <x v="2"/>
    <x v="0"/>
    <x v="0"/>
    <n v="76.900000000000006"/>
    <n v="7"/>
    <n v="26.914999999999999"/>
    <x v="156"/>
    <x v="156"/>
  </r>
  <r>
    <x v="0"/>
    <x v="1"/>
    <x v="1"/>
    <x v="1"/>
    <x v="3"/>
    <n v="97.03"/>
    <n v="5"/>
    <n v="242.57499999999999"/>
    <x v="157"/>
    <x v="157"/>
  </r>
  <r>
    <x v="0"/>
    <x v="0"/>
    <x v="0"/>
    <x v="1"/>
    <x v="4"/>
    <n v="77.930000000000007"/>
    <n v="9"/>
    <n v="350.685"/>
    <x v="158"/>
    <x v="158"/>
  </r>
  <r>
    <x v="0"/>
    <x v="1"/>
    <x v="1"/>
    <x v="0"/>
    <x v="2"/>
    <n v="89.25"/>
    <n v="8"/>
    <n v="35.700000000000003"/>
    <x v="159"/>
    <x v="159"/>
  </r>
  <r>
    <x v="0"/>
    <x v="2"/>
    <x v="2"/>
    <x v="1"/>
    <x v="0"/>
    <n v="13.5"/>
    <n v="10"/>
    <n v="6.75"/>
    <x v="160"/>
    <x v="160"/>
  </r>
  <r>
    <x v="0"/>
    <x v="1"/>
    <x v="1"/>
    <x v="0"/>
    <x v="4"/>
    <n v="99.3"/>
    <n v="10"/>
    <n v="49.65"/>
    <x v="161"/>
    <x v="161"/>
  </r>
  <r>
    <x v="0"/>
    <x v="2"/>
    <x v="2"/>
    <x v="0"/>
    <x v="4"/>
    <n v="54.73"/>
    <n v="7"/>
    <n v="191.55500000000001"/>
    <x v="162"/>
    <x v="162"/>
  </r>
  <r>
    <x v="0"/>
    <x v="1"/>
    <x v="1"/>
    <x v="1"/>
    <x v="1"/>
    <n v="30.24"/>
    <n v="1"/>
    <n v="1.512"/>
    <x v="163"/>
    <x v="163"/>
  </r>
  <r>
    <x v="0"/>
    <x v="2"/>
    <x v="2"/>
    <x v="0"/>
    <x v="3"/>
    <n v="89.14"/>
    <n v="4"/>
    <n v="17.827999999999999"/>
    <x v="164"/>
    <x v="164"/>
  </r>
  <r>
    <x v="0"/>
    <x v="1"/>
    <x v="1"/>
    <x v="1"/>
    <x v="4"/>
    <n v="37.549999999999997"/>
    <n v="10"/>
    <n v="18.774999999999999"/>
    <x v="165"/>
    <x v="165"/>
  </r>
  <r>
    <x v="0"/>
    <x v="1"/>
    <x v="1"/>
    <x v="1"/>
    <x v="5"/>
    <n v="95.44"/>
    <n v="10"/>
    <n v="47.72"/>
    <x v="166"/>
    <x v="166"/>
  </r>
  <r>
    <x v="0"/>
    <x v="1"/>
    <x v="1"/>
    <x v="1"/>
    <x v="3"/>
    <n v="94.47"/>
    <n v="8"/>
    <n v="37.787999999999997"/>
    <x v="167"/>
    <x v="167"/>
  </r>
  <r>
    <x v="0"/>
    <x v="1"/>
    <x v="1"/>
    <x v="1"/>
    <x v="3"/>
    <n v="41.24"/>
    <n v="4"/>
    <n v="8.2479999999999993"/>
    <x v="168"/>
    <x v="168"/>
  </r>
  <r>
    <x v="0"/>
    <x v="1"/>
    <x v="1"/>
    <x v="1"/>
    <x v="4"/>
    <n v="81.680000000000007"/>
    <n v="4"/>
    <n v="16.335999999999999"/>
    <x v="169"/>
    <x v="169"/>
  </r>
  <r>
    <x v="0"/>
    <x v="1"/>
    <x v="1"/>
    <x v="1"/>
    <x v="1"/>
    <n v="51.32"/>
    <n v="9"/>
    <n v="23.094000000000001"/>
    <x v="170"/>
    <x v="170"/>
  </r>
  <r>
    <x v="0"/>
    <x v="1"/>
    <x v="1"/>
    <x v="1"/>
    <x v="5"/>
    <n v="14.36"/>
    <n v="10"/>
    <n v="7.18"/>
    <x v="171"/>
    <x v="171"/>
  </r>
  <r>
    <x v="0"/>
    <x v="2"/>
    <x v="2"/>
    <x v="0"/>
    <x v="1"/>
    <n v="26.26"/>
    <n v="7"/>
    <n v="9.1910000000000007"/>
    <x v="172"/>
    <x v="172"/>
  </r>
  <r>
    <x v="0"/>
    <x v="2"/>
    <x v="2"/>
    <x v="1"/>
    <x v="4"/>
    <n v="60.96"/>
    <n v="2"/>
    <n v="6.0960000000000001"/>
    <x v="173"/>
    <x v="173"/>
  </r>
  <r>
    <x v="0"/>
    <x v="1"/>
    <x v="1"/>
    <x v="1"/>
    <x v="2"/>
    <n v="70.11"/>
    <n v="6"/>
    <n v="21.033000000000001"/>
    <x v="174"/>
    <x v="174"/>
  </r>
  <r>
    <x v="0"/>
    <x v="0"/>
    <x v="0"/>
    <x v="1"/>
    <x v="2"/>
    <n v="67.09"/>
    <n v="5"/>
    <n v="167.72499999999999"/>
    <x v="175"/>
    <x v="175"/>
  </r>
  <r>
    <x v="0"/>
    <x v="0"/>
    <x v="0"/>
    <x v="0"/>
    <x v="4"/>
    <n v="96.7"/>
    <n v="5"/>
    <n v="24.175000000000001"/>
    <x v="176"/>
    <x v="176"/>
  </r>
  <r>
    <x v="0"/>
    <x v="2"/>
    <x v="2"/>
    <x v="0"/>
    <x v="2"/>
    <n v="35.380000000000003"/>
    <n v="9"/>
    <n v="15.920999999999999"/>
    <x v="177"/>
    <x v="177"/>
  </r>
  <r>
    <x v="0"/>
    <x v="2"/>
    <x v="2"/>
    <x v="1"/>
    <x v="1"/>
    <n v="23.65"/>
    <n v="4"/>
    <n v="4.7300000000000004"/>
    <x v="178"/>
    <x v="178"/>
  </r>
  <r>
    <x v="0"/>
    <x v="1"/>
    <x v="1"/>
    <x v="1"/>
    <x v="1"/>
    <n v="26.61"/>
    <n v="2"/>
    <n v="2.661"/>
    <x v="179"/>
    <x v="179"/>
  </r>
  <r>
    <x v="0"/>
    <x v="2"/>
    <x v="2"/>
    <x v="1"/>
    <x v="3"/>
    <n v="99.69"/>
    <n v="5"/>
    <n v="249.22499999999999"/>
    <x v="180"/>
    <x v="180"/>
  </r>
  <r>
    <x v="0"/>
    <x v="1"/>
    <x v="1"/>
    <x v="0"/>
    <x v="3"/>
    <n v="74.89"/>
    <n v="4"/>
    <n v="14.978"/>
    <x v="181"/>
    <x v="181"/>
  </r>
  <r>
    <x v="0"/>
    <x v="0"/>
    <x v="0"/>
    <x v="1"/>
    <x v="3"/>
    <n v="40.94"/>
    <n v="5"/>
    <n v="10.234999999999999"/>
    <x v="182"/>
    <x v="182"/>
  </r>
  <r>
    <x v="0"/>
    <x v="0"/>
    <x v="0"/>
    <x v="1"/>
    <x v="0"/>
    <n v="32.32"/>
    <n v="10"/>
    <n v="16.16"/>
    <x v="183"/>
    <x v="183"/>
  </r>
  <r>
    <x v="0"/>
    <x v="1"/>
    <x v="1"/>
    <x v="0"/>
    <x v="4"/>
    <n v="54.07"/>
    <n v="9"/>
    <n v="243.315"/>
    <x v="184"/>
    <x v="184"/>
  </r>
  <r>
    <x v="0"/>
    <x v="1"/>
    <x v="1"/>
    <x v="0"/>
    <x v="4"/>
    <n v="80.48"/>
    <n v="3"/>
    <n v="12.071999999999999"/>
    <x v="185"/>
    <x v="185"/>
  </r>
  <r>
    <x v="0"/>
    <x v="2"/>
    <x v="2"/>
    <x v="1"/>
    <x v="4"/>
    <n v="37.950000000000003"/>
    <n v="10"/>
    <n v="18.975000000000001"/>
    <x v="186"/>
    <x v="186"/>
  </r>
  <r>
    <x v="0"/>
    <x v="0"/>
    <x v="0"/>
    <x v="0"/>
    <x v="5"/>
    <n v="52.26"/>
    <n v="10"/>
    <n v="26.13"/>
    <x v="187"/>
    <x v="187"/>
  </r>
  <r>
    <x v="0"/>
    <x v="0"/>
    <x v="0"/>
    <x v="1"/>
    <x v="0"/>
    <n v="79.739999999999995"/>
    <n v="1"/>
    <n v="3.9870000000000001"/>
    <x v="188"/>
    <x v="188"/>
  </r>
  <r>
    <x v="0"/>
    <x v="0"/>
    <x v="0"/>
    <x v="1"/>
    <x v="0"/>
    <n v="77.5"/>
    <n v="5"/>
    <n v="19.375"/>
    <x v="189"/>
    <x v="189"/>
  </r>
  <r>
    <x v="0"/>
    <x v="0"/>
    <x v="0"/>
    <x v="1"/>
    <x v="3"/>
    <n v="54.27"/>
    <n v="5"/>
    <n v="135.67500000000001"/>
    <x v="190"/>
    <x v="190"/>
  </r>
  <r>
    <x v="0"/>
    <x v="2"/>
    <x v="2"/>
    <x v="0"/>
    <x v="0"/>
    <n v="41.06"/>
    <n v="6"/>
    <n v="12.318"/>
    <x v="191"/>
    <x v="191"/>
  </r>
  <r>
    <x v="0"/>
    <x v="1"/>
    <x v="1"/>
    <x v="1"/>
    <x v="3"/>
    <n v="39.43"/>
    <n v="6"/>
    <n v="11.829000000000001"/>
    <x v="192"/>
    <x v="192"/>
  </r>
  <r>
    <x v="0"/>
    <x v="2"/>
    <x v="2"/>
    <x v="1"/>
    <x v="4"/>
    <n v="39.75"/>
    <n v="5"/>
    <n v="9.9375"/>
    <x v="193"/>
    <x v="193"/>
  </r>
  <r>
    <x v="0"/>
    <x v="1"/>
    <x v="1"/>
    <x v="0"/>
    <x v="4"/>
    <n v="97.79"/>
    <n v="7"/>
    <n v="342.26499999999999"/>
    <x v="194"/>
    <x v="194"/>
  </r>
  <r>
    <x v="0"/>
    <x v="2"/>
    <x v="2"/>
    <x v="0"/>
    <x v="4"/>
    <n v="68.709999999999994"/>
    <n v="4"/>
    <n v="13.742000000000001"/>
    <x v="195"/>
    <x v="195"/>
  </r>
  <r>
    <x v="0"/>
    <x v="0"/>
    <x v="0"/>
    <x v="1"/>
    <x v="2"/>
    <n v="56.53"/>
    <n v="4"/>
    <n v="11.305999999999999"/>
    <x v="196"/>
    <x v="196"/>
  </r>
  <r>
    <x v="0"/>
    <x v="1"/>
    <x v="1"/>
    <x v="1"/>
    <x v="4"/>
    <n v="23.82"/>
    <n v="5"/>
    <n v="5.9550000000000001"/>
    <x v="197"/>
    <x v="197"/>
  </r>
  <r>
    <x v="0"/>
    <x v="2"/>
    <x v="2"/>
    <x v="1"/>
    <x v="0"/>
    <n v="34.21"/>
    <n v="10"/>
    <n v="17.105"/>
    <x v="198"/>
    <x v="198"/>
  </r>
  <r>
    <x v="0"/>
    <x v="1"/>
    <x v="1"/>
    <x v="1"/>
    <x v="2"/>
    <n v="45.38"/>
    <n v="4"/>
    <n v="9.0760000000000005"/>
    <x v="199"/>
    <x v="199"/>
  </r>
  <r>
    <x v="0"/>
    <x v="1"/>
    <x v="1"/>
    <x v="0"/>
    <x v="0"/>
    <n v="81.510000000000005"/>
    <n v="1"/>
    <n v="4.0754999999999999"/>
    <x v="200"/>
    <x v="200"/>
  </r>
  <r>
    <x v="0"/>
    <x v="2"/>
    <x v="2"/>
    <x v="1"/>
    <x v="0"/>
    <n v="57.22"/>
    <n v="2"/>
    <n v="5.7220000000000004"/>
    <x v="201"/>
    <x v="201"/>
  </r>
  <r>
    <x v="0"/>
    <x v="0"/>
    <x v="0"/>
    <x v="0"/>
    <x v="1"/>
    <n v="25.22"/>
    <n v="7"/>
    <n v="8.827"/>
    <x v="202"/>
    <x v="202"/>
  </r>
  <r>
    <x v="0"/>
    <x v="1"/>
    <x v="1"/>
    <x v="0"/>
    <x v="3"/>
    <n v="38.6"/>
    <n v="3"/>
    <n v="5.79"/>
    <x v="203"/>
    <x v="203"/>
  </r>
  <r>
    <x v="0"/>
    <x v="1"/>
    <x v="1"/>
    <x v="1"/>
    <x v="1"/>
    <n v="84.05"/>
    <n v="3"/>
    <n v="12.6075"/>
    <x v="204"/>
    <x v="204"/>
  </r>
  <r>
    <x v="0"/>
    <x v="1"/>
    <x v="1"/>
    <x v="0"/>
    <x v="4"/>
    <n v="97.21"/>
    <n v="10"/>
    <n v="48.604999999999997"/>
    <x v="205"/>
    <x v="205"/>
  </r>
  <r>
    <x v="0"/>
    <x v="2"/>
    <x v="2"/>
    <x v="0"/>
    <x v="3"/>
    <n v="20.87"/>
    <n v="3"/>
    <n v="3.1305000000000001"/>
    <x v="206"/>
    <x v="206"/>
  </r>
  <r>
    <x v="0"/>
    <x v="0"/>
    <x v="0"/>
    <x v="0"/>
    <x v="2"/>
    <n v="90.65"/>
    <n v="10"/>
    <n v="45.325000000000003"/>
    <x v="207"/>
    <x v="207"/>
  </r>
  <r>
    <x v="0"/>
    <x v="0"/>
    <x v="0"/>
    <x v="1"/>
    <x v="1"/>
    <n v="23.46"/>
    <n v="6"/>
    <n v="7.0380000000000003"/>
    <x v="208"/>
    <x v="208"/>
  </r>
  <r>
    <x v="0"/>
    <x v="2"/>
    <x v="2"/>
    <x v="1"/>
    <x v="4"/>
    <n v="47.44"/>
    <n v="1"/>
    <n v="2.3719999999999999"/>
    <x v="209"/>
    <x v="209"/>
  </r>
  <r>
    <x v="0"/>
    <x v="1"/>
    <x v="1"/>
    <x v="1"/>
    <x v="1"/>
    <n v="40.86"/>
    <n v="8"/>
    <n v="16.344000000000001"/>
    <x v="210"/>
    <x v="210"/>
  </r>
  <r>
    <x v="0"/>
    <x v="2"/>
    <x v="2"/>
    <x v="0"/>
    <x v="5"/>
    <n v="88.43"/>
    <n v="8"/>
    <n v="35.372"/>
    <x v="211"/>
    <x v="211"/>
  </r>
  <r>
    <x v="0"/>
    <x v="0"/>
    <x v="0"/>
    <x v="0"/>
    <x v="2"/>
    <n v="89.21"/>
    <n v="9"/>
    <n v="401.44499999999999"/>
    <x v="212"/>
    <x v="212"/>
  </r>
  <r>
    <x v="0"/>
    <x v="0"/>
    <x v="0"/>
    <x v="1"/>
    <x v="5"/>
    <n v="19.100000000000001"/>
    <n v="7"/>
    <n v="6.6849999999999996"/>
    <x v="213"/>
    <x v="213"/>
  </r>
  <r>
    <x v="0"/>
    <x v="2"/>
    <x v="2"/>
    <x v="0"/>
    <x v="0"/>
    <n v="19.149999999999999"/>
    <n v="1"/>
    <n v="9.5749999999999993"/>
    <x v="214"/>
    <x v="214"/>
  </r>
  <r>
    <x v="0"/>
    <x v="2"/>
    <x v="2"/>
    <x v="0"/>
    <x v="0"/>
    <n v="27.07"/>
    <n v="1"/>
    <n v="1.3534999999999999"/>
    <x v="215"/>
    <x v="215"/>
  </r>
  <r>
    <x v="0"/>
    <x v="2"/>
    <x v="2"/>
    <x v="0"/>
    <x v="5"/>
    <n v="39.119999999999997"/>
    <n v="1"/>
    <n v="1.956"/>
    <x v="216"/>
    <x v="216"/>
  </r>
  <r>
    <x v="0"/>
    <x v="2"/>
    <x v="2"/>
    <x v="1"/>
    <x v="1"/>
    <n v="74.709999999999994"/>
    <n v="6"/>
    <n v="22.413"/>
    <x v="217"/>
    <x v="217"/>
  </r>
  <r>
    <x v="0"/>
    <x v="0"/>
    <x v="0"/>
    <x v="1"/>
    <x v="3"/>
    <n v="63.61"/>
    <n v="5"/>
    <n v="159.02500000000001"/>
    <x v="218"/>
    <x v="218"/>
  </r>
  <r>
    <x v="0"/>
    <x v="2"/>
    <x v="2"/>
    <x v="0"/>
    <x v="4"/>
    <n v="29.56"/>
    <n v="5"/>
    <n v="7.39"/>
    <x v="219"/>
    <x v="219"/>
  </r>
  <r>
    <x v="0"/>
    <x v="2"/>
    <x v="2"/>
    <x v="0"/>
    <x v="3"/>
    <n v="77.400000000000006"/>
    <n v="9"/>
    <n v="34.83"/>
    <x v="220"/>
    <x v="220"/>
  </r>
  <r>
    <x v="0"/>
    <x v="1"/>
    <x v="1"/>
    <x v="0"/>
    <x v="1"/>
    <n v="46.57"/>
    <n v="10"/>
    <n v="23.285"/>
    <x v="221"/>
    <x v="221"/>
  </r>
  <r>
    <x v="0"/>
    <x v="2"/>
    <x v="2"/>
    <x v="0"/>
    <x v="3"/>
    <n v="73.05"/>
    <n v="10"/>
    <n v="36.524999999999999"/>
    <x v="222"/>
    <x v="222"/>
  </r>
  <r>
    <x v="0"/>
    <x v="1"/>
    <x v="1"/>
    <x v="1"/>
    <x v="5"/>
    <n v="73.95"/>
    <n v="4"/>
    <n v="14.79"/>
    <x v="223"/>
    <x v="223"/>
  </r>
  <r>
    <x v="0"/>
    <x v="1"/>
    <x v="1"/>
    <x v="0"/>
    <x v="3"/>
    <n v="22.62"/>
    <n v="1"/>
    <n v="1.131"/>
    <x v="224"/>
    <x v="224"/>
  </r>
  <r>
    <x v="0"/>
    <x v="1"/>
    <x v="1"/>
    <x v="0"/>
    <x v="5"/>
    <n v="54.55"/>
    <n v="10"/>
    <n v="27.274999999999999"/>
    <x v="225"/>
    <x v="225"/>
  </r>
  <r>
    <x v="0"/>
    <x v="1"/>
    <x v="1"/>
    <x v="0"/>
    <x v="0"/>
    <n v="37.15"/>
    <n v="7"/>
    <n v="130.02500000000001"/>
    <x v="226"/>
    <x v="226"/>
  </r>
  <r>
    <x v="0"/>
    <x v="1"/>
    <x v="1"/>
    <x v="0"/>
    <x v="1"/>
    <n v="98.84"/>
    <n v="1"/>
    <n v="4.9420000000000002"/>
    <x v="227"/>
    <x v="227"/>
  </r>
  <r>
    <x v="0"/>
    <x v="1"/>
    <x v="1"/>
    <x v="0"/>
    <x v="2"/>
    <n v="83.77"/>
    <n v="6"/>
    <n v="25.131"/>
    <x v="228"/>
    <x v="228"/>
  </r>
  <r>
    <x v="0"/>
    <x v="0"/>
    <x v="0"/>
    <x v="0"/>
    <x v="5"/>
    <n v="40.049999999999997"/>
    <n v="4"/>
    <n v="8.01"/>
    <x v="229"/>
    <x v="229"/>
  </r>
  <r>
    <x v="0"/>
    <x v="0"/>
    <x v="0"/>
    <x v="0"/>
    <x v="1"/>
    <n v="64.44"/>
    <n v="5"/>
    <n v="16.11"/>
    <x v="230"/>
    <x v="230"/>
  </r>
  <r>
    <x v="0"/>
    <x v="0"/>
    <x v="0"/>
    <x v="1"/>
    <x v="5"/>
    <n v="33.26"/>
    <n v="5"/>
    <n v="8.3149999999999995"/>
    <x v="231"/>
    <x v="231"/>
  </r>
  <r>
    <x v="0"/>
    <x v="1"/>
    <x v="1"/>
    <x v="1"/>
    <x v="1"/>
    <n v="32.799999999999997"/>
    <n v="10"/>
    <n v="16.399999999999999"/>
    <x v="232"/>
    <x v="232"/>
  </r>
  <r>
    <x v="0"/>
    <x v="1"/>
    <x v="1"/>
    <x v="0"/>
    <x v="5"/>
    <n v="36.979999999999997"/>
    <n v="10"/>
    <n v="18.489999999999998"/>
    <x v="233"/>
    <x v="233"/>
  </r>
  <r>
    <x v="0"/>
    <x v="2"/>
    <x v="2"/>
    <x v="0"/>
    <x v="5"/>
    <n v="49.49"/>
    <n v="4"/>
    <n v="9.8979999999999997"/>
    <x v="234"/>
    <x v="234"/>
  </r>
  <r>
    <x v="0"/>
    <x v="2"/>
    <x v="2"/>
    <x v="1"/>
    <x v="4"/>
    <n v="41.09"/>
    <n v="10"/>
    <n v="20.545000000000002"/>
    <x v="235"/>
    <x v="235"/>
  </r>
  <r>
    <x v="0"/>
    <x v="2"/>
    <x v="2"/>
    <x v="0"/>
    <x v="2"/>
    <n v="77.680000000000007"/>
    <n v="9"/>
    <n v="34.956000000000003"/>
    <x v="236"/>
    <x v="236"/>
  </r>
  <r>
    <x v="0"/>
    <x v="2"/>
    <x v="2"/>
    <x v="1"/>
    <x v="4"/>
    <n v="34.700000000000003"/>
    <n v="2"/>
    <n v="3.47"/>
    <x v="237"/>
    <x v="237"/>
  </r>
  <r>
    <x v="0"/>
    <x v="0"/>
    <x v="0"/>
    <x v="0"/>
    <x v="4"/>
    <n v="19.66"/>
    <n v="10"/>
    <n v="9.83"/>
    <x v="238"/>
    <x v="238"/>
  </r>
  <r>
    <x v="0"/>
    <x v="2"/>
    <x v="2"/>
    <x v="0"/>
    <x v="0"/>
    <n v="25.32"/>
    <n v="8"/>
    <n v="10.128"/>
    <x v="239"/>
    <x v="239"/>
  </r>
  <r>
    <x v="0"/>
    <x v="1"/>
    <x v="1"/>
    <x v="0"/>
    <x v="2"/>
    <n v="12.12"/>
    <n v="10"/>
    <n v="6.06"/>
    <x v="240"/>
    <x v="240"/>
  </r>
  <r>
    <x v="0"/>
    <x v="1"/>
    <x v="1"/>
    <x v="1"/>
    <x v="1"/>
    <n v="63.22"/>
    <n v="2"/>
    <n v="6.3220000000000001"/>
    <x v="241"/>
    <x v="241"/>
  </r>
  <r>
    <x v="0"/>
    <x v="1"/>
    <x v="1"/>
    <x v="1"/>
    <x v="3"/>
    <n v="90.24"/>
    <n v="6"/>
    <n v="27.071999999999999"/>
    <x v="242"/>
    <x v="242"/>
  </r>
  <r>
    <x v="0"/>
    <x v="2"/>
    <x v="2"/>
    <x v="0"/>
    <x v="5"/>
    <n v="98.13"/>
    <n v="1"/>
    <n v="4.9065000000000003"/>
    <x v="243"/>
    <x v="243"/>
  </r>
  <r>
    <x v="0"/>
    <x v="0"/>
    <x v="0"/>
    <x v="0"/>
    <x v="5"/>
    <n v="51.52"/>
    <n v="8"/>
    <n v="20.608000000000001"/>
    <x v="244"/>
    <x v="244"/>
  </r>
  <r>
    <x v="0"/>
    <x v="1"/>
    <x v="1"/>
    <x v="0"/>
    <x v="4"/>
    <n v="31.9"/>
    <n v="1"/>
    <n v="1.595"/>
    <x v="245"/>
    <x v="245"/>
  </r>
  <r>
    <x v="0"/>
    <x v="2"/>
    <x v="2"/>
    <x v="1"/>
    <x v="5"/>
    <n v="93.31"/>
    <n v="2"/>
    <n v="9.3309999999999995"/>
    <x v="246"/>
    <x v="246"/>
  </r>
  <r>
    <x v="0"/>
    <x v="2"/>
    <x v="2"/>
    <x v="0"/>
    <x v="5"/>
    <n v="48.5"/>
    <n v="3"/>
    <n v="7.2750000000000004"/>
    <x v="247"/>
    <x v="247"/>
  </r>
  <r>
    <x v="0"/>
    <x v="2"/>
    <x v="2"/>
    <x v="1"/>
    <x v="3"/>
    <n v="84.05"/>
    <n v="6"/>
    <n v="25.215"/>
    <x v="248"/>
    <x v="248"/>
  </r>
  <r>
    <x v="0"/>
    <x v="1"/>
    <x v="1"/>
    <x v="0"/>
    <x v="2"/>
    <n v="15.95"/>
    <n v="6"/>
    <n v="4.7850000000000001"/>
    <x v="249"/>
    <x v="249"/>
  </r>
  <r>
    <x v="0"/>
    <x v="2"/>
    <x v="2"/>
    <x v="0"/>
    <x v="5"/>
    <n v="90.74"/>
    <n v="7"/>
    <n v="31.759"/>
    <x v="250"/>
    <x v="250"/>
  </r>
  <r>
    <x v="0"/>
    <x v="0"/>
    <x v="0"/>
    <x v="1"/>
    <x v="2"/>
    <n v="42.91"/>
    <n v="5"/>
    <n v="10.727499999999999"/>
    <x v="251"/>
    <x v="251"/>
  </r>
  <r>
    <x v="0"/>
    <x v="0"/>
    <x v="0"/>
    <x v="1"/>
    <x v="4"/>
    <n v="54.28"/>
    <n v="7"/>
    <n v="18.998000000000001"/>
    <x v="252"/>
    <x v="252"/>
  </r>
  <r>
    <x v="0"/>
    <x v="1"/>
    <x v="1"/>
    <x v="0"/>
    <x v="4"/>
    <n v="51.47"/>
    <n v="1"/>
    <n v="2.5735000000000001"/>
    <x v="253"/>
    <x v="253"/>
  </r>
  <r>
    <x v="0"/>
    <x v="2"/>
    <x v="2"/>
    <x v="1"/>
    <x v="1"/>
    <n v="45.71"/>
    <n v="3"/>
    <n v="6.8564999999999996"/>
    <x v="254"/>
    <x v="254"/>
  </r>
  <r>
    <x v="0"/>
    <x v="1"/>
    <x v="1"/>
    <x v="0"/>
    <x v="2"/>
    <n v="83.17"/>
    <n v="6"/>
    <n v="24.951000000000001"/>
    <x v="255"/>
    <x v="255"/>
  </r>
  <r>
    <x v="0"/>
    <x v="0"/>
    <x v="0"/>
    <x v="0"/>
    <x v="2"/>
    <n v="37.44"/>
    <n v="6"/>
    <n v="11.231999999999999"/>
    <x v="256"/>
    <x v="256"/>
  </r>
  <r>
    <x v="0"/>
    <x v="0"/>
    <x v="0"/>
    <x v="0"/>
    <x v="5"/>
    <n v="91.41"/>
    <n v="5"/>
    <n v="228.52500000000001"/>
    <x v="257"/>
    <x v="257"/>
  </r>
  <r>
    <x v="0"/>
    <x v="2"/>
    <x v="2"/>
    <x v="0"/>
    <x v="3"/>
    <n v="54.36"/>
    <n v="10"/>
    <n v="27.18"/>
    <x v="258"/>
    <x v="258"/>
  </r>
  <r>
    <x v="0"/>
    <x v="1"/>
    <x v="1"/>
    <x v="1"/>
    <x v="3"/>
    <n v="16.309999999999999"/>
    <n v="9"/>
    <n v="7.3395000000000001"/>
    <x v="259"/>
    <x v="259"/>
  </r>
  <r>
    <x v="0"/>
    <x v="0"/>
    <x v="0"/>
    <x v="1"/>
    <x v="2"/>
    <n v="28.32"/>
    <n v="5"/>
    <n v="7.08"/>
    <x v="260"/>
    <x v="260"/>
  </r>
  <r>
    <x v="0"/>
    <x v="2"/>
    <x v="2"/>
    <x v="0"/>
    <x v="4"/>
    <n v="73.959999999999994"/>
    <n v="1"/>
    <n v="3.698"/>
    <x v="261"/>
    <x v="261"/>
  </r>
  <r>
    <x v="0"/>
    <x v="0"/>
    <x v="0"/>
    <x v="1"/>
    <x v="4"/>
    <n v="73.05"/>
    <n v="4"/>
    <n v="14.61"/>
    <x v="262"/>
    <x v="262"/>
  </r>
  <r>
    <x v="0"/>
    <x v="1"/>
    <x v="1"/>
    <x v="0"/>
    <x v="3"/>
    <n v="87.48"/>
    <n v="6"/>
    <n v="26.244"/>
    <x v="263"/>
    <x v="263"/>
  </r>
  <r>
    <x v="0"/>
    <x v="2"/>
    <x v="2"/>
    <x v="0"/>
    <x v="5"/>
    <n v="20.18"/>
    <n v="4"/>
    <n v="4.0359999999999996"/>
    <x v="264"/>
    <x v="264"/>
  </r>
  <r>
    <x v="0"/>
    <x v="2"/>
    <x v="2"/>
    <x v="1"/>
    <x v="3"/>
    <n v="71.2"/>
    <n v="1"/>
    <n v="3.56"/>
    <x v="265"/>
    <x v="265"/>
  </r>
  <r>
    <x v="0"/>
    <x v="0"/>
    <x v="0"/>
    <x v="1"/>
    <x v="4"/>
    <n v="29.42"/>
    <n v="10"/>
    <n v="14.71"/>
    <x v="266"/>
    <x v="266"/>
  </r>
  <r>
    <x v="0"/>
    <x v="2"/>
    <x v="2"/>
    <x v="1"/>
    <x v="5"/>
    <n v="51.54"/>
    <n v="5"/>
    <n v="12.885"/>
    <x v="267"/>
    <x v="267"/>
  </r>
  <r>
    <x v="0"/>
    <x v="0"/>
    <x v="0"/>
    <x v="1"/>
    <x v="1"/>
    <n v="66.06"/>
    <n v="6"/>
    <n v="19.818000000000001"/>
    <x v="268"/>
    <x v="268"/>
  </r>
  <r>
    <x v="0"/>
    <x v="2"/>
    <x v="2"/>
    <x v="1"/>
    <x v="4"/>
    <n v="54.31"/>
    <n v="9"/>
    <n v="244.39500000000001"/>
    <x v="269"/>
    <x v="269"/>
  </r>
  <r>
    <x v="0"/>
    <x v="2"/>
    <x v="2"/>
    <x v="1"/>
    <x v="0"/>
    <n v="58.24"/>
    <n v="9"/>
    <n v="26.207999999999998"/>
    <x v="270"/>
    <x v="270"/>
  </r>
  <r>
    <x v="0"/>
    <x v="2"/>
    <x v="2"/>
    <x v="0"/>
    <x v="4"/>
    <n v="72.040000000000006"/>
    <n v="2"/>
    <n v="7.2039999999999997"/>
    <x v="271"/>
    <x v="271"/>
  </r>
  <r>
    <x v="0"/>
    <x v="1"/>
    <x v="1"/>
    <x v="0"/>
    <x v="3"/>
    <n v="98.52"/>
    <n v="10"/>
    <n v="49.26"/>
    <x v="272"/>
    <x v="272"/>
  </r>
  <r>
    <x v="0"/>
    <x v="0"/>
    <x v="0"/>
    <x v="0"/>
    <x v="2"/>
    <n v="72.42"/>
    <n v="3"/>
    <n v="10.863"/>
    <x v="273"/>
    <x v="273"/>
  </r>
  <r>
    <x v="0"/>
    <x v="2"/>
    <x v="2"/>
    <x v="1"/>
    <x v="1"/>
    <n v="42.42"/>
    <n v="8"/>
    <n v="16.968"/>
    <x v="274"/>
    <x v="274"/>
  </r>
  <r>
    <x v="0"/>
    <x v="0"/>
    <x v="0"/>
    <x v="1"/>
    <x v="3"/>
    <n v="81.209999999999994"/>
    <n v="10"/>
    <n v="40.604999999999997"/>
    <x v="275"/>
    <x v="275"/>
  </r>
  <r>
    <x v="0"/>
    <x v="1"/>
    <x v="1"/>
    <x v="1"/>
    <x v="5"/>
    <n v="49.33"/>
    <n v="10"/>
    <n v="24.664999999999999"/>
    <x v="276"/>
    <x v="276"/>
  </r>
  <r>
    <x v="0"/>
    <x v="0"/>
    <x v="0"/>
    <x v="1"/>
    <x v="4"/>
    <n v="65.739999999999995"/>
    <n v="9"/>
    <n v="29.582999999999998"/>
    <x v="277"/>
    <x v="277"/>
  </r>
  <r>
    <x v="0"/>
    <x v="2"/>
    <x v="2"/>
    <x v="1"/>
    <x v="4"/>
    <n v="79.86"/>
    <n v="7"/>
    <n v="27.951000000000001"/>
    <x v="278"/>
    <x v="278"/>
  </r>
  <r>
    <x v="0"/>
    <x v="1"/>
    <x v="1"/>
    <x v="1"/>
    <x v="5"/>
    <n v="73.98"/>
    <n v="7"/>
    <n v="25.893000000000001"/>
    <x v="279"/>
    <x v="279"/>
  </r>
  <r>
    <x v="0"/>
    <x v="2"/>
    <x v="2"/>
    <x v="0"/>
    <x v="2"/>
    <n v="82.04"/>
    <n v="5"/>
    <n v="20.51"/>
    <x v="280"/>
    <x v="280"/>
  </r>
  <r>
    <x v="0"/>
    <x v="0"/>
    <x v="0"/>
    <x v="1"/>
    <x v="0"/>
    <n v="64.27"/>
    <n v="4"/>
    <n v="12.853999999999999"/>
    <x v="281"/>
    <x v="281"/>
  </r>
  <r>
    <x v="0"/>
    <x v="0"/>
    <x v="0"/>
    <x v="0"/>
    <x v="0"/>
    <n v="77.680000000000007"/>
    <n v="4"/>
    <n v="15.536"/>
    <x v="282"/>
    <x v="282"/>
  </r>
  <r>
    <x v="0"/>
    <x v="1"/>
    <x v="1"/>
    <x v="0"/>
    <x v="4"/>
    <n v="92.98"/>
    <n v="2"/>
    <n v="9.298"/>
    <x v="283"/>
    <x v="283"/>
  </r>
  <r>
    <x v="0"/>
    <x v="2"/>
    <x v="2"/>
    <x v="0"/>
    <x v="4"/>
    <n v="18.079999999999998"/>
    <n v="4"/>
    <n v="3.6160000000000001"/>
    <x v="284"/>
    <x v="284"/>
  </r>
  <r>
    <x v="0"/>
    <x v="0"/>
    <x v="0"/>
    <x v="1"/>
    <x v="3"/>
    <n v="52.34"/>
    <n v="3"/>
    <n v="7.851"/>
    <x v="285"/>
    <x v="285"/>
  </r>
  <r>
    <x v="0"/>
    <x v="0"/>
    <x v="0"/>
    <x v="1"/>
    <x v="5"/>
    <n v="43.06"/>
    <n v="5"/>
    <n v="10.765000000000001"/>
    <x v="286"/>
    <x v="286"/>
  </r>
  <r>
    <x v="0"/>
    <x v="1"/>
    <x v="1"/>
    <x v="0"/>
    <x v="2"/>
    <n v="24.24"/>
    <n v="7"/>
    <n v="8.484"/>
    <x v="287"/>
    <x v="287"/>
  </r>
  <r>
    <x v="0"/>
    <x v="0"/>
    <x v="0"/>
    <x v="0"/>
    <x v="5"/>
    <n v="45.58"/>
    <n v="1"/>
    <n v="2.2789999999999999"/>
    <x v="288"/>
    <x v="288"/>
  </r>
  <r>
    <x v="0"/>
    <x v="0"/>
    <x v="0"/>
    <x v="0"/>
    <x v="5"/>
    <n v="75.2"/>
    <n v="3"/>
    <n v="11.28"/>
    <x v="289"/>
    <x v="289"/>
  </r>
  <r>
    <x v="0"/>
    <x v="1"/>
    <x v="1"/>
    <x v="1"/>
    <x v="5"/>
    <n v="46.66"/>
    <n v="9"/>
    <n v="20.997"/>
    <x v="290"/>
    <x v="290"/>
  </r>
  <r>
    <x v="0"/>
    <x v="1"/>
    <x v="1"/>
    <x v="1"/>
    <x v="4"/>
    <n v="36.85"/>
    <n v="5"/>
    <n v="9.2125000000000004"/>
    <x v="291"/>
    <x v="291"/>
  </r>
  <r>
    <x v="0"/>
    <x v="0"/>
    <x v="0"/>
    <x v="0"/>
    <x v="2"/>
    <n v="70.319999999999993"/>
    <n v="2"/>
    <n v="7.032"/>
    <x v="292"/>
    <x v="292"/>
  </r>
  <r>
    <x v="0"/>
    <x v="1"/>
    <x v="1"/>
    <x v="1"/>
    <x v="4"/>
    <n v="64.989999999999995"/>
    <n v="1"/>
    <n v="3.2494999999999998"/>
    <x v="293"/>
    <x v="293"/>
  </r>
  <r>
    <x v="0"/>
    <x v="2"/>
    <x v="2"/>
    <x v="1"/>
    <x v="5"/>
    <n v="54.51"/>
    <n v="6"/>
    <n v="16.353000000000002"/>
    <x v="294"/>
    <x v="294"/>
  </r>
  <r>
    <x v="0"/>
    <x v="1"/>
    <x v="1"/>
    <x v="0"/>
    <x v="4"/>
    <n v="51.89"/>
    <n v="7"/>
    <n v="181.61500000000001"/>
    <x v="295"/>
    <x v="295"/>
  </r>
  <r>
    <x v="0"/>
    <x v="0"/>
    <x v="0"/>
    <x v="0"/>
    <x v="4"/>
    <n v="53.65"/>
    <n v="7"/>
    <n v="187.77500000000001"/>
    <x v="296"/>
    <x v="296"/>
  </r>
  <r>
    <x v="0"/>
    <x v="1"/>
    <x v="1"/>
    <x v="0"/>
    <x v="3"/>
    <n v="49.79"/>
    <n v="4"/>
    <n v="9.9580000000000002"/>
    <x v="297"/>
    <x v="297"/>
  </r>
  <r>
    <x v="0"/>
    <x v="0"/>
    <x v="0"/>
    <x v="1"/>
    <x v="1"/>
    <n v="28.96"/>
    <n v="1"/>
    <n v="1.448"/>
    <x v="298"/>
    <x v="298"/>
  </r>
  <r>
    <x v="0"/>
    <x v="1"/>
    <x v="1"/>
    <x v="0"/>
    <x v="3"/>
    <n v="98.97"/>
    <n v="9"/>
    <n v="445.36500000000001"/>
    <x v="299"/>
    <x v="299"/>
  </r>
  <r>
    <x v="0"/>
    <x v="0"/>
    <x v="0"/>
    <x v="0"/>
    <x v="5"/>
    <n v="38.72"/>
    <n v="9"/>
    <n v="17.423999999999999"/>
    <x v="300"/>
    <x v="300"/>
  </r>
  <r>
    <x v="0"/>
    <x v="1"/>
    <x v="1"/>
    <x v="0"/>
    <x v="4"/>
    <n v="43.46"/>
    <n v="6"/>
    <n v="13.038"/>
    <x v="301"/>
    <x v="301"/>
  </r>
  <r>
    <x v="0"/>
    <x v="0"/>
    <x v="0"/>
    <x v="1"/>
    <x v="3"/>
    <n v="71.680000000000007"/>
    <n v="3"/>
    <n v="10.752000000000001"/>
    <x v="302"/>
    <x v="302"/>
  </r>
  <r>
    <x v="0"/>
    <x v="0"/>
    <x v="0"/>
    <x v="0"/>
    <x v="3"/>
    <n v="91.61"/>
    <n v="1"/>
    <n v="4.5804999999999998"/>
    <x v="303"/>
    <x v="303"/>
  </r>
  <r>
    <x v="0"/>
    <x v="2"/>
    <x v="2"/>
    <x v="0"/>
    <x v="2"/>
    <n v="94.59"/>
    <n v="7"/>
    <n v="331.065"/>
    <x v="304"/>
    <x v="304"/>
  </r>
  <r>
    <x v="0"/>
    <x v="2"/>
    <x v="2"/>
    <x v="1"/>
    <x v="4"/>
    <n v="83.25"/>
    <n v="10"/>
    <n v="41.625"/>
    <x v="305"/>
    <x v="305"/>
  </r>
  <r>
    <x v="0"/>
    <x v="2"/>
    <x v="2"/>
    <x v="0"/>
    <x v="3"/>
    <n v="78.88"/>
    <n v="2"/>
    <n v="7.8879999999999999"/>
    <x v="306"/>
    <x v="306"/>
  </r>
  <r>
    <x v="0"/>
    <x v="0"/>
    <x v="0"/>
    <x v="1"/>
    <x v="4"/>
    <n v="12.09"/>
    <n v="1"/>
    <n v="6.0449999999999999"/>
    <x v="307"/>
    <x v="307"/>
  </r>
  <r>
    <x v="0"/>
    <x v="1"/>
    <x v="1"/>
    <x v="1"/>
    <x v="1"/>
    <n v="46.2"/>
    <n v="1"/>
    <n v="2.31"/>
    <x v="308"/>
    <x v="308"/>
  </r>
  <r>
    <x v="0"/>
    <x v="2"/>
    <x v="2"/>
    <x v="0"/>
    <x v="3"/>
    <n v="17.63"/>
    <n v="5"/>
    <n v="4.4074999999999998"/>
    <x v="309"/>
    <x v="309"/>
  </r>
  <r>
    <x v="0"/>
    <x v="2"/>
    <x v="2"/>
    <x v="0"/>
    <x v="3"/>
    <n v="98.79"/>
    <n v="3"/>
    <n v="148.185"/>
    <x v="310"/>
    <x v="310"/>
  </r>
  <r>
    <x v="0"/>
    <x v="1"/>
    <x v="1"/>
    <x v="0"/>
    <x v="1"/>
    <n v="88.55"/>
    <n v="8"/>
    <n v="35.42"/>
    <x v="311"/>
    <x v="311"/>
  </r>
  <r>
    <x v="0"/>
    <x v="1"/>
    <x v="1"/>
    <x v="0"/>
    <x v="3"/>
    <n v="72.52"/>
    <n v="8"/>
    <n v="29.007999999999999"/>
    <x v="312"/>
    <x v="312"/>
  </r>
  <r>
    <x v="0"/>
    <x v="1"/>
    <x v="1"/>
    <x v="0"/>
    <x v="5"/>
    <n v="15.49"/>
    <n v="2"/>
    <n v="1.5489999999999999"/>
    <x v="313"/>
    <x v="313"/>
  </r>
  <r>
    <x v="0"/>
    <x v="2"/>
    <x v="2"/>
    <x v="1"/>
    <x v="0"/>
    <n v="55.81"/>
    <n v="6"/>
    <n v="16.742999999999999"/>
    <x v="314"/>
    <x v="314"/>
  </r>
  <r>
    <x v="0"/>
    <x v="0"/>
    <x v="0"/>
    <x v="1"/>
    <x v="1"/>
    <n v="15.69"/>
    <n v="3"/>
    <n v="2.3534999999999999"/>
    <x v="315"/>
    <x v="315"/>
  </r>
  <r>
    <x v="0"/>
    <x v="1"/>
    <x v="1"/>
    <x v="1"/>
    <x v="1"/>
    <n v="99.69"/>
    <n v="1"/>
    <n v="4.9844999999999997"/>
    <x v="316"/>
    <x v="316"/>
  </r>
  <r>
    <x v="0"/>
    <x v="0"/>
    <x v="0"/>
    <x v="0"/>
    <x v="4"/>
    <n v="88.15"/>
    <n v="3"/>
    <n v="132.22499999999999"/>
    <x v="317"/>
    <x v="317"/>
  </r>
  <r>
    <x v="0"/>
    <x v="0"/>
    <x v="0"/>
    <x v="0"/>
    <x v="5"/>
    <n v="27.93"/>
    <n v="5"/>
    <n v="6.9824999999999999"/>
    <x v="318"/>
    <x v="318"/>
  </r>
  <r>
    <x v="0"/>
    <x v="2"/>
    <x v="2"/>
    <x v="1"/>
    <x v="5"/>
    <n v="42.97"/>
    <n v="3"/>
    <n v="6.4455"/>
    <x v="319"/>
    <x v="319"/>
  </r>
  <r>
    <x v="0"/>
    <x v="2"/>
    <x v="2"/>
    <x v="0"/>
    <x v="4"/>
    <n v="58.75"/>
    <n v="6"/>
    <n v="17.625"/>
    <x v="320"/>
    <x v="320"/>
  </r>
  <r>
    <x v="0"/>
    <x v="1"/>
    <x v="1"/>
    <x v="0"/>
    <x v="3"/>
    <n v="87.1"/>
    <n v="10"/>
    <n v="43.55"/>
    <x v="321"/>
    <x v="321"/>
  </r>
  <r>
    <x v="0"/>
    <x v="1"/>
    <x v="1"/>
    <x v="1"/>
    <x v="5"/>
    <n v="98.8"/>
    <n v="2"/>
    <n v="9.8800000000000008"/>
    <x v="322"/>
    <x v="322"/>
  </r>
  <r>
    <x v="0"/>
    <x v="0"/>
    <x v="0"/>
    <x v="1"/>
    <x v="4"/>
    <n v="48.63"/>
    <n v="4"/>
    <n v="9.7260000000000009"/>
    <x v="323"/>
    <x v="323"/>
  </r>
  <r>
    <x v="0"/>
    <x v="2"/>
    <x v="2"/>
    <x v="1"/>
    <x v="0"/>
    <n v="17.97"/>
    <n v="4"/>
    <n v="3.5939999999999999"/>
    <x v="324"/>
    <x v="324"/>
  </r>
  <r>
    <x v="0"/>
    <x v="1"/>
    <x v="1"/>
    <x v="0"/>
    <x v="0"/>
    <n v="47.71"/>
    <n v="6"/>
    <n v="14.313000000000001"/>
    <x v="325"/>
    <x v="325"/>
  </r>
  <r>
    <x v="0"/>
    <x v="2"/>
    <x v="2"/>
    <x v="1"/>
    <x v="5"/>
    <n v="40.619999999999997"/>
    <n v="2"/>
    <n v="4.0620000000000003"/>
    <x v="326"/>
    <x v="326"/>
  </r>
  <r>
    <x v="0"/>
    <x v="2"/>
    <x v="2"/>
    <x v="1"/>
    <x v="0"/>
    <n v="73.41"/>
    <n v="3"/>
    <n v="11.0115"/>
    <x v="327"/>
    <x v="327"/>
  </r>
  <r>
    <x v="0"/>
    <x v="0"/>
    <x v="0"/>
    <x v="1"/>
    <x v="1"/>
    <n v="45.48"/>
    <n v="10"/>
    <n v="22.74"/>
    <x v="328"/>
    <x v="328"/>
  </r>
  <r>
    <x v="0"/>
    <x v="2"/>
    <x v="2"/>
    <x v="0"/>
    <x v="5"/>
    <n v="64.08"/>
    <n v="7"/>
    <n v="22.428000000000001"/>
    <x v="329"/>
    <x v="329"/>
  </r>
  <r>
    <x v="0"/>
    <x v="0"/>
    <x v="0"/>
    <x v="0"/>
    <x v="3"/>
    <n v="73.47"/>
    <n v="4"/>
    <n v="14.694000000000001"/>
    <x v="330"/>
    <x v="330"/>
  </r>
  <r>
    <x v="0"/>
    <x v="2"/>
    <x v="2"/>
    <x v="0"/>
    <x v="1"/>
    <n v="39.479999999999997"/>
    <n v="1"/>
    <n v="1.974"/>
    <x v="331"/>
    <x v="331"/>
  </r>
  <r>
    <x v="0"/>
    <x v="2"/>
    <x v="2"/>
    <x v="1"/>
    <x v="5"/>
    <n v="34.81"/>
    <n v="1"/>
    <n v="1.7404999999999999"/>
    <x v="332"/>
    <x v="332"/>
  </r>
  <r>
    <x v="0"/>
    <x v="1"/>
    <x v="1"/>
    <x v="1"/>
    <x v="4"/>
    <n v="49.32"/>
    <n v="6"/>
    <n v="14.795999999999999"/>
    <x v="333"/>
    <x v="333"/>
  </r>
  <r>
    <x v="0"/>
    <x v="2"/>
    <x v="2"/>
    <x v="0"/>
    <x v="5"/>
    <n v="23.08"/>
    <n v="6"/>
    <n v="6.9240000000000004"/>
    <x v="334"/>
    <x v="334"/>
  </r>
  <r>
    <x v="0"/>
    <x v="2"/>
    <x v="2"/>
    <x v="0"/>
    <x v="2"/>
    <n v="49.1"/>
    <n v="2"/>
    <n v="4.91"/>
    <x v="335"/>
    <x v="335"/>
  </r>
  <r>
    <x v="0"/>
    <x v="2"/>
    <x v="2"/>
    <x v="0"/>
    <x v="5"/>
    <n v="64.83"/>
    <n v="2"/>
    <n v="6.4829999999999997"/>
    <x v="336"/>
    <x v="336"/>
  </r>
  <r>
    <x v="0"/>
    <x v="0"/>
    <x v="0"/>
    <x v="1"/>
    <x v="3"/>
    <n v="67.099999999999994"/>
    <n v="3"/>
    <n v="10.065"/>
    <x v="337"/>
    <x v="337"/>
  </r>
  <r>
    <x v="0"/>
    <x v="1"/>
    <x v="1"/>
    <x v="0"/>
    <x v="5"/>
    <n v="70.19"/>
    <n v="9"/>
    <n v="315.85500000000002"/>
    <x v="338"/>
    <x v="338"/>
  </r>
  <r>
    <x v="0"/>
    <x v="1"/>
    <x v="1"/>
    <x v="0"/>
    <x v="4"/>
    <n v="73.38"/>
    <n v="7"/>
    <n v="25.683"/>
    <x v="339"/>
    <x v="339"/>
  </r>
  <r>
    <x v="0"/>
    <x v="1"/>
    <x v="1"/>
    <x v="1"/>
    <x v="3"/>
    <n v="52.6"/>
    <n v="9"/>
    <n v="23.67"/>
    <x v="340"/>
    <x v="340"/>
  </r>
  <r>
    <x v="0"/>
    <x v="0"/>
    <x v="0"/>
    <x v="0"/>
    <x v="2"/>
    <n v="87.37"/>
    <n v="5"/>
    <n v="218.42500000000001"/>
    <x v="341"/>
    <x v="341"/>
  </r>
  <r>
    <x v="0"/>
    <x v="0"/>
    <x v="0"/>
    <x v="0"/>
    <x v="5"/>
    <n v="27.04"/>
    <n v="4"/>
    <n v="5.4080000000000004"/>
    <x v="342"/>
    <x v="342"/>
  </r>
  <r>
    <x v="0"/>
    <x v="1"/>
    <x v="1"/>
    <x v="1"/>
    <x v="4"/>
    <n v="60.41"/>
    <n v="8"/>
    <n v="24.164000000000001"/>
    <x v="343"/>
    <x v="343"/>
  </r>
  <r>
    <x v="0"/>
    <x v="2"/>
    <x v="2"/>
    <x v="0"/>
    <x v="4"/>
    <n v="19.77"/>
    <n v="10"/>
    <n v="9.8849999999999998"/>
    <x v="344"/>
    <x v="344"/>
  </r>
  <r>
    <x v="0"/>
    <x v="2"/>
    <x v="2"/>
    <x v="0"/>
    <x v="2"/>
    <n v="88.39"/>
    <n v="9"/>
    <n v="397.755"/>
    <x v="345"/>
    <x v="345"/>
  </r>
  <r>
    <x v="0"/>
    <x v="2"/>
    <x v="2"/>
    <x v="1"/>
    <x v="1"/>
    <n v="43"/>
    <n v="4"/>
    <n v="8.6"/>
    <x v="346"/>
    <x v="346"/>
  </r>
  <r>
    <x v="0"/>
    <x v="1"/>
    <x v="1"/>
    <x v="0"/>
    <x v="2"/>
    <n v="75.53"/>
    <n v="4"/>
    <n v="15.106"/>
    <x v="347"/>
    <x v="347"/>
  </r>
  <r>
    <x v="0"/>
    <x v="1"/>
    <x v="1"/>
    <x v="1"/>
    <x v="1"/>
    <n v="77.63"/>
    <n v="9"/>
    <n v="349.33499999999998"/>
    <x v="348"/>
    <x v="348"/>
  </r>
  <r>
    <x v="0"/>
    <x v="1"/>
    <x v="1"/>
    <x v="1"/>
    <x v="0"/>
    <n v="13.85"/>
    <n v="9"/>
    <n v="6.2324999999999999"/>
    <x v="349"/>
    <x v="349"/>
  </r>
  <r>
    <x v="0"/>
    <x v="0"/>
    <x v="0"/>
    <x v="1"/>
    <x v="0"/>
    <n v="35.68"/>
    <n v="5"/>
    <n v="8.92"/>
    <x v="350"/>
    <x v="350"/>
  </r>
  <r>
    <x v="0"/>
    <x v="0"/>
    <x v="0"/>
    <x v="0"/>
    <x v="4"/>
    <n v="71.459999999999994"/>
    <n v="7"/>
    <n v="25.010999999999999"/>
    <x v="351"/>
    <x v="351"/>
  </r>
  <r>
    <x v="0"/>
    <x v="2"/>
    <x v="2"/>
    <x v="0"/>
    <x v="4"/>
    <n v="17.48"/>
    <n v="6"/>
    <n v="5.2439999999999998"/>
    <x v="352"/>
    <x v="352"/>
  </r>
  <r>
    <x v="0"/>
    <x v="2"/>
    <x v="2"/>
    <x v="1"/>
    <x v="4"/>
    <n v="25.56"/>
    <n v="7"/>
    <n v="8.9459999999999997"/>
    <x v="353"/>
    <x v="353"/>
  </r>
  <r>
    <x v="0"/>
    <x v="1"/>
    <x v="1"/>
    <x v="0"/>
    <x v="5"/>
    <n v="90.63"/>
    <n v="9"/>
    <n v="407.83499999999998"/>
    <x v="354"/>
    <x v="354"/>
  </r>
  <r>
    <x v="0"/>
    <x v="1"/>
    <x v="1"/>
    <x v="0"/>
    <x v="3"/>
    <n v="36.770000000000003"/>
    <n v="7"/>
    <n v="12.8695"/>
    <x v="355"/>
    <x v="355"/>
  </r>
  <r>
    <x v="0"/>
    <x v="1"/>
    <x v="1"/>
    <x v="0"/>
    <x v="0"/>
    <n v="28.5"/>
    <n v="8"/>
    <n v="11.4"/>
    <x v="356"/>
    <x v="356"/>
  </r>
  <r>
    <x v="0"/>
    <x v="2"/>
    <x v="2"/>
    <x v="0"/>
    <x v="2"/>
    <n v="52.18"/>
    <n v="7"/>
    <n v="18.263000000000002"/>
    <x v="357"/>
    <x v="357"/>
  </r>
  <r>
    <x v="0"/>
    <x v="0"/>
    <x v="0"/>
    <x v="0"/>
    <x v="4"/>
    <n v="22.32"/>
    <n v="4"/>
    <n v="4.4640000000000004"/>
    <x v="358"/>
    <x v="358"/>
  </r>
  <r>
    <x v="0"/>
    <x v="1"/>
    <x v="1"/>
    <x v="0"/>
    <x v="2"/>
    <n v="81.2"/>
    <n v="7"/>
    <n v="28.42"/>
    <x v="359"/>
    <x v="359"/>
  </r>
  <r>
    <x v="0"/>
    <x v="0"/>
    <x v="0"/>
    <x v="0"/>
    <x v="5"/>
    <n v="71.63"/>
    <n v="2"/>
    <n v="7.1630000000000003"/>
    <x v="360"/>
    <x v="360"/>
  </r>
  <r>
    <x v="0"/>
    <x v="1"/>
    <x v="1"/>
    <x v="0"/>
    <x v="5"/>
    <n v="31.67"/>
    <n v="8"/>
    <n v="12.667999999999999"/>
    <x v="361"/>
    <x v="361"/>
  </r>
  <r>
    <x v="0"/>
    <x v="1"/>
    <x v="1"/>
    <x v="0"/>
    <x v="3"/>
    <n v="38.42"/>
    <n v="1"/>
    <n v="1.921"/>
    <x v="362"/>
    <x v="362"/>
  </r>
  <r>
    <x v="0"/>
    <x v="1"/>
    <x v="1"/>
    <x v="0"/>
    <x v="2"/>
    <n v="10.53"/>
    <n v="5"/>
    <n v="2.6324999999999998"/>
    <x v="363"/>
    <x v="363"/>
  </r>
  <r>
    <x v="0"/>
    <x v="2"/>
    <x v="2"/>
    <x v="0"/>
    <x v="2"/>
    <n v="12.29"/>
    <n v="9"/>
    <n v="5.5305"/>
    <x v="364"/>
    <x v="364"/>
  </r>
  <r>
    <x v="0"/>
    <x v="2"/>
    <x v="2"/>
    <x v="0"/>
    <x v="4"/>
    <n v="22.32"/>
    <n v="4"/>
    <n v="4.4640000000000004"/>
    <x v="358"/>
    <x v="358"/>
  </r>
  <r>
    <x v="0"/>
    <x v="0"/>
    <x v="0"/>
    <x v="1"/>
    <x v="3"/>
    <n v="27.28"/>
    <n v="5"/>
    <n v="6.82"/>
    <x v="365"/>
    <x v="365"/>
  </r>
  <r>
    <x v="0"/>
    <x v="0"/>
    <x v="0"/>
    <x v="0"/>
    <x v="1"/>
    <n v="17.420000000000002"/>
    <n v="10"/>
    <n v="8.7100000000000009"/>
    <x v="366"/>
    <x v="366"/>
  </r>
  <r>
    <x v="0"/>
    <x v="1"/>
    <x v="1"/>
    <x v="0"/>
    <x v="4"/>
    <n v="84.87"/>
    <n v="3"/>
    <n v="12.730499999999999"/>
    <x v="367"/>
    <x v="367"/>
  </r>
  <r>
    <x v="0"/>
    <x v="0"/>
    <x v="0"/>
    <x v="1"/>
    <x v="4"/>
    <n v="97.29"/>
    <n v="8"/>
    <n v="38.915999999999997"/>
    <x v="368"/>
    <x v="368"/>
  </r>
  <r>
    <x v="0"/>
    <x v="2"/>
    <x v="2"/>
    <x v="0"/>
    <x v="1"/>
    <n v="35.74"/>
    <n v="8"/>
    <n v="14.295999999999999"/>
    <x v="369"/>
    <x v="369"/>
  </r>
  <r>
    <x v="0"/>
    <x v="0"/>
    <x v="0"/>
    <x v="1"/>
    <x v="2"/>
    <n v="96.52"/>
    <n v="6"/>
    <n v="28.956"/>
    <x v="370"/>
    <x v="370"/>
  </r>
  <r>
    <x v="0"/>
    <x v="0"/>
    <x v="0"/>
    <x v="1"/>
    <x v="3"/>
    <n v="55.39"/>
    <n v="4"/>
    <n v="11.077999999999999"/>
    <x v="371"/>
    <x v="371"/>
  </r>
  <r>
    <x v="0"/>
    <x v="2"/>
    <x v="2"/>
    <x v="0"/>
    <x v="3"/>
    <n v="77.2"/>
    <n v="10"/>
    <n v="38.6"/>
    <x v="372"/>
    <x v="372"/>
  </r>
  <r>
    <x v="0"/>
    <x v="0"/>
    <x v="0"/>
    <x v="0"/>
    <x v="4"/>
    <n v="63.88"/>
    <n v="8"/>
    <n v="25.552"/>
    <x v="373"/>
    <x v="373"/>
  </r>
  <r>
    <x v="0"/>
    <x v="0"/>
    <x v="0"/>
    <x v="0"/>
    <x v="0"/>
    <n v="10.69"/>
    <n v="5"/>
    <n v="2.6724999999999999"/>
    <x v="374"/>
    <x v="374"/>
  </r>
  <r>
    <x v="0"/>
    <x v="2"/>
    <x v="2"/>
    <x v="1"/>
    <x v="2"/>
    <n v="95.46"/>
    <n v="8"/>
    <n v="38.183999999999997"/>
    <x v="375"/>
    <x v="375"/>
  </r>
  <r>
    <x v="0"/>
    <x v="1"/>
    <x v="1"/>
    <x v="1"/>
    <x v="4"/>
    <n v="76.06"/>
    <n v="3"/>
    <n v="11.409000000000001"/>
    <x v="376"/>
    <x v="376"/>
  </r>
  <r>
    <x v="0"/>
    <x v="2"/>
    <x v="2"/>
    <x v="1"/>
    <x v="1"/>
    <n v="95.64"/>
    <n v="4"/>
    <n v="19.128"/>
    <x v="377"/>
    <x v="377"/>
  </r>
  <r>
    <x v="0"/>
    <x v="0"/>
    <x v="0"/>
    <x v="1"/>
    <x v="2"/>
    <n v="11.43"/>
    <n v="6"/>
    <n v="3.4289999999999998"/>
    <x v="378"/>
    <x v="378"/>
  </r>
  <r>
    <x v="0"/>
    <x v="2"/>
    <x v="2"/>
    <x v="0"/>
    <x v="5"/>
    <n v="95.54"/>
    <n v="4"/>
    <n v="19.108000000000001"/>
    <x v="379"/>
    <x v="379"/>
  </r>
  <r>
    <x v="0"/>
    <x v="1"/>
    <x v="1"/>
    <x v="0"/>
    <x v="0"/>
    <n v="85.87"/>
    <n v="7"/>
    <n v="300.54500000000002"/>
    <x v="380"/>
    <x v="380"/>
  </r>
  <r>
    <x v="0"/>
    <x v="1"/>
    <x v="1"/>
    <x v="0"/>
    <x v="5"/>
    <n v="67.989999999999995"/>
    <n v="7"/>
    <n v="237.965"/>
    <x v="381"/>
    <x v="381"/>
  </r>
  <r>
    <x v="0"/>
    <x v="1"/>
    <x v="1"/>
    <x v="1"/>
    <x v="3"/>
    <n v="52.42"/>
    <n v="1"/>
    <n v="2.621"/>
    <x v="382"/>
    <x v="382"/>
  </r>
  <r>
    <x v="0"/>
    <x v="2"/>
    <x v="2"/>
    <x v="1"/>
    <x v="3"/>
    <n v="28.86"/>
    <n v="5"/>
    <n v="7.2149999999999999"/>
    <x v="383"/>
    <x v="383"/>
  </r>
  <r>
    <x v="0"/>
    <x v="0"/>
    <x v="0"/>
    <x v="1"/>
    <x v="5"/>
    <n v="94.76"/>
    <n v="4"/>
    <n v="18.952000000000002"/>
    <x v="384"/>
    <x v="384"/>
  </r>
  <r>
    <x v="0"/>
    <x v="0"/>
    <x v="0"/>
    <x v="0"/>
    <x v="4"/>
    <n v="30.62"/>
    <n v="1"/>
    <n v="1.5309999999999999"/>
    <x v="385"/>
    <x v="385"/>
  </r>
  <r>
    <x v="0"/>
    <x v="1"/>
    <x v="1"/>
    <x v="1"/>
    <x v="2"/>
    <n v="44.01"/>
    <n v="8"/>
    <n v="17.603999999999999"/>
    <x v="386"/>
    <x v="386"/>
  </r>
  <r>
    <x v="0"/>
    <x v="1"/>
    <x v="1"/>
    <x v="0"/>
    <x v="0"/>
    <n v="10.16"/>
    <n v="5"/>
    <n v="2.54"/>
    <x v="387"/>
    <x v="387"/>
  </r>
  <r>
    <x v="0"/>
    <x v="1"/>
    <x v="1"/>
    <x v="1"/>
    <x v="0"/>
    <n v="10.99"/>
    <n v="5"/>
    <n v="2.7475000000000001"/>
    <x v="388"/>
    <x v="388"/>
  </r>
  <r>
    <x v="0"/>
    <x v="2"/>
    <x v="2"/>
    <x v="1"/>
    <x v="2"/>
    <n v="97.37"/>
    <n v="10"/>
    <n v="48.685000000000002"/>
    <x v="389"/>
    <x v="389"/>
  </r>
  <r>
    <x v="0"/>
    <x v="0"/>
    <x v="0"/>
    <x v="1"/>
    <x v="1"/>
    <n v="46.61"/>
    <n v="2"/>
    <n v="4.6609999999999996"/>
    <x v="390"/>
    <x v="390"/>
  </r>
  <r>
    <x v="0"/>
    <x v="1"/>
    <x v="1"/>
    <x v="0"/>
    <x v="2"/>
    <n v="60.87"/>
    <n v="1"/>
    <n v="3.0434999999999999"/>
    <x v="391"/>
    <x v="391"/>
  </r>
  <r>
    <x v="0"/>
    <x v="0"/>
    <x v="0"/>
    <x v="0"/>
    <x v="5"/>
    <n v="24.49"/>
    <n v="10"/>
    <n v="12.244999999999999"/>
    <x v="392"/>
    <x v="392"/>
  </r>
  <r>
    <x v="0"/>
    <x v="1"/>
    <x v="1"/>
    <x v="0"/>
    <x v="1"/>
    <n v="30.2"/>
    <n v="8"/>
    <n v="12.08"/>
    <x v="393"/>
    <x v="393"/>
  </r>
  <r>
    <x v="0"/>
    <x v="0"/>
    <x v="0"/>
    <x v="0"/>
    <x v="4"/>
    <n v="48.96"/>
    <n v="9"/>
    <n v="22.032"/>
    <x v="394"/>
    <x v="394"/>
  </r>
  <r>
    <x v="0"/>
    <x v="2"/>
    <x v="2"/>
    <x v="0"/>
    <x v="1"/>
    <n v="75.59"/>
    <n v="9"/>
    <n v="340.15499999999997"/>
    <x v="395"/>
    <x v="395"/>
  </r>
  <r>
    <x v="0"/>
    <x v="0"/>
    <x v="0"/>
    <x v="1"/>
    <x v="2"/>
    <n v="77.47"/>
    <n v="4"/>
    <n v="15.494"/>
    <x v="396"/>
    <x v="396"/>
  </r>
  <r>
    <x v="0"/>
    <x v="0"/>
    <x v="0"/>
    <x v="1"/>
    <x v="5"/>
    <n v="93.18"/>
    <n v="2"/>
    <n v="9.3179999999999996"/>
    <x v="397"/>
    <x v="397"/>
  </r>
  <r>
    <x v="0"/>
    <x v="0"/>
    <x v="0"/>
    <x v="1"/>
    <x v="1"/>
    <n v="50.23"/>
    <n v="4"/>
    <n v="10.045999999999999"/>
    <x v="398"/>
    <x v="398"/>
  </r>
  <r>
    <x v="0"/>
    <x v="2"/>
    <x v="2"/>
    <x v="1"/>
    <x v="0"/>
    <n v="17.75"/>
    <n v="1"/>
    <n v="8.875"/>
    <x v="399"/>
    <x v="399"/>
  </r>
  <r>
    <x v="0"/>
    <x v="1"/>
    <x v="1"/>
    <x v="1"/>
    <x v="4"/>
    <n v="62.18"/>
    <n v="10"/>
    <n v="31.09"/>
    <x v="400"/>
    <x v="400"/>
  </r>
  <r>
    <x v="0"/>
    <x v="0"/>
    <x v="0"/>
    <x v="1"/>
    <x v="1"/>
    <n v="40.26"/>
    <n v="10"/>
    <n v="20.13"/>
    <x v="401"/>
    <x v="401"/>
  </r>
  <r>
    <x v="0"/>
    <x v="1"/>
    <x v="1"/>
    <x v="0"/>
    <x v="5"/>
    <n v="64.97"/>
    <n v="5"/>
    <n v="162.42500000000001"/>
    <x v="402"/>
    <x v="402"/>
  </r>
  <r>
    <x v="0"/>
    <x v="0"/>
    <x v="0"/>
    <x v="0"/>
    <x v="1"/>
    <n v="48.62"/>
    <n v="8"/>
    <n v="19.448"/>
    <x v="403"/>
    <x v="403"/>
  </r>
  <r>
    <x v="0"/>
    <x v="2"/>
    <x v="2"/>
    <x v="1"/>
    <x v="3"/>
    <n v="53.21"/>
    <n v="8"/>
    <n v="21.283999999999999"/>
    <x v="404"/>
    <x v="404"/>
  </r>
  <r>
    <x v="0"/>
    <x v="1"/>
    <x v="1"/>
    <x v="1"/>
    <x v="4"/>
    <n v="45.44"/>
    <n v="7"/>
    <n v="15.904"/>
    <x v="405"/>
    <x v="405"/>
  </r>
  <r>
    <x v="0"/>
    <x v="0"/>
    <x v="0"/>
    <x v="0"/>
    <x v="2"/>
    <n v="47.68"/>
    <n v="2"/>
    <n v="4.7679999999999998"/>
    <x v="406"/>
    <x v="406"/>
  </r>
  <r>
    <x v="0"/>
    <x v="0"/>
    <x v="0"/>
    <x v="1"/>
    <x v="0"/>
    <n v="68.709999999999994"/>
    <n v="3"/>
    <n v="10.3065"/>
    <x v="407"/>
    <x v="407"/>
  </r>
  <r>
    <x v="0"/>
    <x v="2"/>
    <x v="2"/>
    <x v="0"/>
    <x v="5"/>
    <n v="60.08"/>
    <n v="7"/>
    <n v="21.027999999999999"/>
    <x v="408"/>
    <x v="408"/>
  </r>
  <r>
    <x v="0"/>
    <x v="0"/>
    <x v="0"/>
    <x v="0"/>
    <x v="5"/>
    <n v="22.01"/>
    <n v="4"/>
    <n v="4.4020000000000001"/>
    <x v="409"/>
    <x v="409"/>
  </r>
  <r>
    <x v="0"/>
    <x v="2"/>
    <x v="2"/>
    <x v="0"/>
    <x v="0"/>
    <n v="72.11"/>
    <n v="9"/>
    <n v="324.495"/>
    <x v="410"/>
    <x v="410"/>
  </r>
  <r>
    <x v="0"/>
    <x v="0"/>
    <x v="0"/>
    <x v="0"/>
    <x v="1"/>
    <n v="74.22"/>
    <n v="10"/>
    <n v="37.11"/>
    <x v="411"/>
    <x v="411"/>
  </r>
  <r>
    <x v="0"/>
    <x v="2"/>
    <x v="2"/>
    <x v="0"/>
    <x v="5"/>
    <n v="11.85"/>
    <n v="8"/>
    <n v="4.74"/>
    <x v="412"/>
    <x v="412"/>
  </r>
  <r>
    <x v="0"/>
    <x v="2"/>
    <x v="2"/>
    <x v="0"/>
    <x v="2"/>
    <n v="40.729999999999997"/>
    <n v="7"/>
    <n v="142.55500000000001"/>
    <x v="413"/>
    <x v="413"/>
  </r>
  <r>
    <x v="0"/>
    <x v="1"/>
    <x v="1"/>
    <x v="0"/>
    <x v="5"/>
    <n v="29.22"/>
    <n v="6"/>
    <n v="8.766"/>
    <x v="414"/>
    <x v="414"/>
  </r>
  <r>
    <x v="0"/>
    <x v="0"/>
    <x v="0"/>
    <x v="0"/>
    <x v="5"/>
    <n v="39.47"/>
    <n v="2"/>
    <n v="3.9470000000000001"/>
    <x v="415"/>
    <x v="415"/>
  </r>
  <r>
    <x v="0"/>
    <x v="1"/>
    <x v="1"/>
    <x v="0"/>
    <x v="3"/>
    <n v="14.87"/>
    <n v="2"/>
    <n v="1.4870000000000001"/>
    <x v="416"/>
    <x v="416"/>
  </r>
  <r>
    <x v="0"/>
    <x v="1"/>
    <x v="1"/>
    <x v="1"/>
    <x v="5"/>
    <n v="22.38"/>
    <n v="1"/>
    <n v="1.119"/>
    <x v="417"/>
    <x v="417"/>
  </r>
  <r>
    <x v="0"/>
    <x v="1"/>
    <x v="1"/>
    <x v="0"/>
    <x v="3"/>
    <n v="72.88"/>
    <n v="9"/>
    <n v="32.795999999999999"/>
    <x v="418"/>
    <x v="418"/>
  </r>
  <r>
    <x v="0"/>
    <x v="0"/>
    <x v="0"/>
    <x v="1"/>
    <x v="4"/>
    <n v="99.1"/>
    <n v="6"/>
    <n v="29.73"/>
    <x v="419"/>
    <x v="419"/>
  </r>
  <r>
    <x v="0"/>
    <x v="0"/>
    <x v="0"/>
    <x v="1"/>
    <x v="4"/>
    <n v="98.48"/>
    <n v="2"/>
    <n v="9.8480000000000008"/>
    <x v="420"/>
    <x v="420"/>
  </r>
  <r>
    <x v="0"/>
    <x v="2"/>
    <x v="2"/>
    <x v="1"/>
    <x v="1"/>
    <n v="52.79"/>
    <n v="10"/>
    <n v="26.395"/>
    <x v="421"/>
    <x v="421"/>
  </r>
  <r>
    <x v="0"/>
    <x v="0"/>
    <x v="0"/>
    <x v="0"/>
    <x v="0"/>
    <n v="95.95"/>
    <n v="5"/>
    <n v="239.875"/>
    <x v="422"/>
    <x v="422"/>
  </r>
  <r>
    <x v="0"/>
    <x v="2"/>
    <x v="2"/>
    <x v="1"/>
    <x v="4"/>
    <n v="36.51"/>
    <n v="9"/>
    <n v="164.29499999999999"/>
    <x v="423"/>
    <x v="423"/>
  </r>
  <r>
    <x v="0"/>
    <x v="0"/>
    <x v="0"/>
    <x v="0"/>
    <x v="2"/>
    <n v="28.31"/>
    <n v="4"/>
    <n v="5.6619999999999999"/>
    <x v="424"/>
    <x v="424"/>
  </r>
  <r>
    <x v="0"/>
    <x v="0"/>
    <x v="0"/>
    <x v="0"/>
    <x v="3"/>
    <n v="47.63"/>
    <n v="9"/>
    <n v="214.33500000000001"/>
    <x v="425"/>
    <x v="425"/>
  </r>
  <r>
    <x v="0"/>
    <x v="1"/>
    <x v="1"/>
    <x v="0"/>
    <x v="2"/>
    <n v="86.27"/>
    <n v="1"/>
    <n v="4.3135000000000003"/>
    <x v="426"/>
    <x v="426"/>
  </r>
  <r>
    <x v="0"/>
    <x v="2"/>
    <x v="2"/>
    <x v="1"/>
    <x v="2"/>
    <n v="11.28"/>
    <n v="9"/>
    <n v="5.0759999999999996"/>
    <x v="427"/>
    <x v="427"/>
  </r>
  <r>
    <x v="0"/>
    <x v="2"/>
    <x v="2"/>
    <x v="1"/>
    <x v="2"/>
    <n v="51.07"/>
    <n v="7"/>
    <n v="178.745"/>
    <x v="428"/>
    <x v="428"/>
  </r>
  <r>
    <x v="0"/>
    <x v="0"/>
    <x v="0"/>
    <x v="0"/>
    <x v="1"/>
    <n v="79.59"/>
    <n v="3"/>
    <n v="11.938499999999999"/>
    <x v="429"/>
    <x v="429"/>
  </r>
  <r>
    <x v="0"/>
    <x v="1"/>
    <x v="1"/>
    <x v="0"/>
    <x v="0"/>
    <n v="62.82"/>
    <n v="2"/>
    <n v="6.282"/>
    <x v="430"/>
    <x v="430"/>
  </r>
  <r>
    <x v="0"/>
    <x v="2"/>
    <x v="2"/>
    <x v="0"/>
    <x v="1"/>
    <n v="21.43"/>
    <n v="10"/>
    <n v="10.715"/>
    <x v="431"/>
    <x v="431"/>
  </r>
  <r>
    <x v="0"/>
    <x v="0"/>
    <x v="0"/>
    <x v="1"/>
    <x v="1"/>
    <n v="90.02"/>
    <n v="8"/>
    <n v="36.008000000000003"/>
    <x v="432"/>
    <x v="432"/>
  </r>
  <r>
    <x v="0"/>
    <x v="2"/>
    <x v="2"/>
    <x v="0"/>
    <x v="1"/>
    <n v="12.1"/>
    <n v="8"/>
    <n v="4.84"/>
    <x v="433"/>
    <x v="433"/>
  </r>
  <r>
    <x v="0"/>
    <x v="2"/>
    <x v="2"/>
    <x v="0"/>
    <x v="3"/>
    <n v="33.21"/>
    <n v="10"/>
    <n v="16.605"/>
    <x v="434"/>
    <x v="434"/>
  </r>
  <r>
    <x v="0"/>
    <x v="1"/>
    <x v="1"/>
    <x v="0"/>
    <x v="4"/>
    <n v="10.18"/>
    <n v="8"/>
    <n v="4.0720000000000001"/>
    <x v="435"/>
    <x v="435"/>
  </r>
  <r>
    <x v="0"/>
    <x v="0"/>
    <x v="0"/>
    <x v="0"/>
    <x v="2"/>
    <n v="34.42"/>
    <n v="6"/>
    <n v="10.326000000000001"/>
    <x v="68"/>
    <x v="68"/>
  </r>
  <r>
    <x v="0"/>
    <x v="0"/>
    <x v="0"/>
    <x v="0"/>
    <x v="3"/>
    <n v="83.34"/>
    <n v="2"/>
    <n v="8.3339999999999996"/>
    <x v="436"/>
    <x v="436"/>
  </r>
  <r>
    <x v="0"/>
    <x v="0"/>
    <x v="0"/>
    <x v="0"/>
    <x v="1"/>
    <n v="73.47"/>
    <n v="10"/>
    <n v="36.734999999999999"/>
    <x v="437"/>
    <x v="437"/>
  </r>
  <r>
    <x v="0"/>
    <x v="1"/>
    <x v="1"/>
    <x v="1"/>
    <x v="4"/>
    <n v="12.19"/>
    <n v="8"/>
    <n v="4.8760000000000003"/>
    <x v="438"/>
    <x v="438"/>
  </r>
  <r>
    <x v="0"/>
    <x v="1"/>
    <x v="1"/>
    <x v="1"/>
    <x v="0"/>
    <n v="83.66"/>
    <n v="5"/>
    <n v="20.914999999999999"/>
    <x v="439"/>
    <x v="439"/>
  </r>
  <r>
    <x v="0"/>
    <x v="2"/>
    <x v="2"/>
    <x v="1"/>
    <x v="1"/>
    <n v="57.91"/>
    <n v="8"/>
    <n v="23.164000000000001"/>
    <x v="440"/>
    <x v="440"/>
  </r>
  <r>
    <x v="0"/>
    <x v="1"/>
    <x v="1"/>
    <x v="0"/>
    <x v="4"/>
    <n v="92.49"/>
    <n v="5"/>
    <n v="231.22499999999999"/>
    <x v="441"/>
    <x v="441"/>
  </r>
  <r>
    <x v="0"/>
    <x v="1"/>
    <x v="1"/>
    <x v="0"/>
    <x v="3"/>
    <n v="47.27"/>
    <n v="6"/>
    <n v="14.180999999999999"/>
    <x v="442"/>
    <x v="442"/>
  </r>
  <r>
    <x v="0"/>
    <x v="1"/>
    <x v="1"/>
    <x v="0"/>
    <x v="1"/>
    <n v="44.84"/>
    <n v="9"/>
    <n v="20.178000000000001"/>
    <x v="443"/>
    <x v="443"/>
  </r>
  <r>
    <x v="0"/>
    <x v="0"/>
    <x v="0"/>
    <x v="0"/>
    <x v="0"/>
    <n v="27.73"/>
    <n v="5"/>
    <n v="6.9325000000000001"/>
    <x v="444"/>
    <x v="444"/>
  </r>
  <r>
    <x v="0"/>
    <x v="1"/>
    <x v="1"/>
    <x v="1"/>
    <x v="0"/>
    <n v="58.32"/>
    <n v="2"/>
    <n v="5.8319999999999999"/>
    <x v="445"/>
    <x v="445"/>
  </r>
  <r>
    <x v="0"/>
    <x v="1"/>
    <x v="1"/>
    <x v="0"/>
    <x v="2"/>
    <n v="78.38"/>
    <n v="4"/>
    <n v="15.676"/>
    <x v="446"/>
    <x v="446"/>
  </r>
  <r>
    <x v="0"/>
    <x v="2"/>
    <x v="2"/>
    <x v="1"/>
    <x v="0"/>
    <n v="82.88"/>
    <n v="5"/>
    <n v="20.72"/>
    <x v="447"/>
    <x v="447"/>
  </r>
  <r>
    <x v="0"/>
    <x v="0"/>
    <x v="0"/>
    <x v="0"/>
    <x v="3"/>
    <n v="79.540000000000006"/>
    <n v="2"/>
    <n v="7.9539999999999997"/>
    <x v="448"/>
    <x v="448"/>
  </r>
  <r>
    <x v="0"/>
    <x v="2"/>
    <x v="2"/>
    <x v="1"/>
    <x v="2"/>
    <n v="49.01"/>
    <n v="10"/>
    <n v="24.504999999999999"/>
    <x v="449"/>
    <x v="449"/>
  </r>
  <r>
    <x v="0"/>
    <x v="2"/>
    <x v="2"/>
    <x v="0"/>
    <x v="3"/>
    <n v="29.15"/>
    <n v="3"/>
    <n v="4.3724999999999996"/>
    <x v="450"/>
    <x v="450"/>
  </r>
  <r>
    <x v="0"/>
    <x v="1"/>
    <x v="1"/>
    <x v="1"/>
    <x v="1"/>
    <n v="56.13"/>
    <n v="4"/>
    <n v="11.226000000000001"/>
    <x v="451"/>
    <x v="451"/>
  </r>
  <r>
    <x v="0"/>
    <x v="0"/>
    <x v="0"/>
    <x v="1"/>
    <x v="2"/>
    <n v="93.12"/>
    <n v="8"/>
    <n v="37.247999999999998"/>
    <x v="452"/>
    <x v="452"/>
  </r>
  <r>
    <x v="0"/>
    <x v="0"/>
    <x v="0"/>
    <x v="0"/>
    <x v="3"/>
    <n v="99.6"/>
    <n v="3"/>
    <n v="14.94"/>
    <x v="453"/>
    <x v="453"/>
  </r>
  <r>
    <x v="0"/>
    <x v="1"/>
    <x v="1"/>
    <x v="1"/>
    <x v="1"/>
    <n v="35.49"/>
    <n v="6"/>
    <n v="10.647"/>
    <x v="454"/>
    <x v="454"/>
  </r>
  <r>
    <x v="0"/>
    <x v="0"/>
    <x v="0"/>
    <x v="1"/>
    <x v="4"/>
    <n v="94.67"/>
    <n v="4"/>
    <n v="18.934000000000001"/>
    <x v="455"/>
    <x v="455"/>
  </r>
  <r>
    <x v="0"/>
    <x v="2"/>
    <x v="2"/>
    <x v="0"/>
    <x v="1"/>
    <n v="26.26"/>
    <n v="3"/>
    <n v="3.9390000000000001"/>
    <x v="456"/>
    <x v="456"/>
  </r>
  <r>
    <x v="0"/>
    <x v="1"/>
    <x v="1"/>
    <x v="0"/>
    <x v="2"/>
    <n v="35.79"/>
    <n v="9"/>
    <n v="161.05500000000001"/>
    <x v="457"/>
    <x v="457"/>
  </r>
  <r>
    <x v="0"/>
    <x v="2"/>
    <x v="2"/>
    <x v="1"/>
    <x v="2"/>
    <n v="16.37"/>
    <n v="6"/>
    <n v="4.9109999999999996"/>
    <x v="458"/>
    <x v="458"/>
  </r>
  <r>
    <x v="0"/>
    <x v="1"/>
    <x v="1"/>
    <x v="0"/>
    <x v="2"/>
    <n v="12.73"/>
    <n v="2"/>
    <n v="1.2729999999999999"/>
    <x v="459"/>
    <x v="459"/>
  </r>
  <r>
    <x v="0"/>
    <x v="1"/>
    <x v="1"/>
    <x v="1"/>
    <x v="5"/>
    <n v="83.14"/>
    <n v="7"/>
    <n v="29.099"/>
    <x v="460"/>
    <x v="460"/>
  </r>
  <r>
    <x v="0"/>
    <x v="1"/>
    <x v="1"/>
    <x v="0"/>
    <x v="5"/>
    <n v="35.22"/>
    <n v="6"/>
    <n v="10.566000000000001"/>
    <x v="461"/>
    <x v="461"/>
  </r>
  <r>
    <x v="0"/>
    <x v="2"/>
    <x v="2"/>
    <x v="1"/>
    <x v="1"/>
    <n v="13.78"/>
    <n v="4"/>
    <n v="2.7559999999999998"/>
    <x v="462"/>
    <x v="462"/>
  </r>
  <r>
    <x v="0"/>
    <x v="0"/>
    <x v="0"/>
    <x v="0"/>
    <x v="0"/>
    <n v="39.619999999999997"/>
    <n v="9"/>
    <n v="17.829000000000001"/>
    <x v="463"/>
    <x v="463"/>
  </r>
  <r>
    <x v="0"/>
    <x v="2"/>
    <x v="2"/>
    <x v="1"/>
    <x v="1"/>
    <n v="88.25"/>
    <n v="9"/>
    <n v="397.125"/>
    <x v="464"/>
    <x v="464"/>
  </r>
  <r>
    <x v="0"/>
    <x v="1"/>
    <x v="1"/>
    <x v="0"/>
    <x v="4"/>
    <n v="83.35"/>
    <n v="2"/>
    <n v="8.3350000000000009"/>
    <x v="465"/>
    <x v="465"/>
  </r>
  <r>
    <x v="0"/>
    <x v="0"/>
    <x v="0"/>
    <x v="1"/>
    <x v="3"/>
    <n v="74.44"/>
    <n v="10"/>
    <n v="37.22"/>
    <x v="466"/>
    <x v="466"/>
  </r>
  <r>
    <x v="0"/>
    <x v="2"/>
    <x v="2"/>
    <x v="1"/>
    <x v="2"/>
    <n v="63.15"/>
    <n v="6"/>
    <n v="18.945"/>
    <x v="467"/>
    <x v="467"/>
  </r>
  <r>
    <x v="0"/>
    <x v="1"/>
    <x v="1"/>
    <x v="1"/>
    <x v="0"/>
    <n v="78.89"/>
    <n v="7"/>
    <n v="276.11500000000001"/>
    <x v="468"/>
    <x v="468"/>
  </r>
  <r>
    <x v="0"/>
    <x v="0"/>
    <x v="0"/>
    <x v="1"/>
    <x v="5"/>
    <n v="89.48"/>
    <n v="5"/>
    <n v="22.37"/>
    <x v="469"/>
    <x v="469"/>
  </r>
  <r>
    <x v="0"/>
    <x v="0"/>
    <x v="0"/>
    <x v="0"/>
    <x v="0"/>
    <n v="92.09"/>
    <n v="3"/>
    <n v="138.13499999999999"/>
    <x v="470"/>
    <x v="470"/>
  </r>
  <r>
    <x v="0"/>
    <x v="1"/>
    <x v="1"/>
    <x v="1"/>
    <x v="3"/>
    <n v="57.29"/>
    <n v="6"/>
    <n v="17.187000000000001"/>
    <x v="471"/>
    <x v="471"/>
  </r>
  <r>
    <x v="0"/>
    <x v="0"/>
    <x v="0"/>
    <x v="1"/>
    <x v="2"/>
    <n v="45.68"/>
    <n v="10"/>
    <n v="22.84"/>
    <x v="472"/>
    <x v="472"/>
  </r>
  <r>
    <x v="0"/>
    <x v="0"/>
    <x v="0"/>
    <x v="1"/>
    <x v="1"/>
    <n v="93.88"/>
    <n v="7"/>
    <n v="32.857999999999997"/>
    <x v="473"/>
    <x v="473"/>
  </r>
  <r>
    <x v="0"/>
    <x v="2"/>
    <x v="2"/>
    <x v="1"/>
    <x v="3"/>
    <n v="26.43"/>
    <n v="8"/>
    <n v="10.571999999999999"/>
    <x v="474"/>
    <x v="474"/>
  </r>
  <r>
    <x v="0"/>
    <x v="2"/>
    <x v="2"/>
    <x v="0"/>
    <x v="2"/>
    <n v="21.9"/>
    <n v="3"/>
    <n v="3.2850000000000001"/>
    <x v="475"/>
    <x v="475"/>
  </r>
  <r>
    <x v="0"/>
    <x v="2"/>
    <x v="2"/>
    <x v="0"/>
    <x v="3"/>
    <n v="62.85"/>
    <n v="4"/>
    <n v="12.57"/>
    <x v="476"/>
    <x v="476"/>
  </r>
  <r>
    <x v="0"/>
    <x v="1"/>
    <x v="1"/>
    <x v="0"/>
    <x v="3"/>
    <n v="21.04"/>
    <n v="4"/>
    <n v="4.2080000000000002"/>
    <x v="477"/>
    <x v="477"/>
  </r>
  <r>
    <x v="0"/>
    <x v="0"/>
    <x v="0"/>
    <x v="1"/>
    <x v="4"/>
    <n v="42.57"/>
    <n v="7"/>
    <n v="148.995"/>
    <x v="478"/>
    <x v="478"/>
  </r>
  <r>
    <x v="0"/>
    <x v="1"/>
    <x v="1"/>
    <x v="1"/>
    <x v="2"/>
    <n v="15.8"/>
    <n v="10"/>
    <n v="7.9"/>
    <x v="479"/>
    <x v="479"/>
  </r>
  <r>
    <x v="0"/>
    <x v="0"/>
    <x v="0"/>
    <x v="0"/>
    <x v="3"/>
    <n v="98.66"/>
    <n v="9"/>
    <n v="44.396999999999998"/>
    <x v="480"/>
    <x v="480"/>
  </r>
  <r>
    <x v="0"/>
    <x v="0"/>
    <x v="0"/>
    <x v="1"/>
    <x v="4"/>
    <n v="15.5"/>
    <n v="1"/>
    <n v="775"/>
    <x v="481"/>
    <x v="481"/>
  </r>
  <r>
    <x v="0"/>
    <x v="2"/>
    <x v="2"/>
    <x v="1"/>
    <x v="1"/>
    <n v="38.270000000000003"/>
    <n v="2"/>
    <n v="3.827"/>
    <x v="482"/>
    <x v="482"/>
  </r>
  <r>
    <x v="0"/>
    <x v="0"/>
    <x v="0"/>
    <x v="1"/>
    <x v="2"/>
    <n v="33.299999999999997"/>
    <n v="9"/>
    <n v="14.984999999999999"/>
    <x v="483"/>
    <x v="483"/>
  </r>
  <r>
    <x v="0"/>
    <x v="0"/>
    <x v="0"/>
    <x v="1"/>
    <x v="0"/>
    <n v="15.8"/>
    <n v="3"/>
    <n v="2.37"/>
    <x v="484"/>
    <x v="484"/>
  </r>
  <r>
    <x v="0"/>
    <x v="2"/>
    <x v="2"/>
    <x v="0"/>
    <x v="1"/>
    <n v="34.49"/>
    <n v="5"/>
    <n v="8.6225000000000005"/>
    <x v="485"/>
    <x v="485"/>
  </r>
  <r>
    <x v="0"/>
    <x v="2"/>
    <x v="2"/>
    <x v="0"/>
    <x v="3"/>
    <n v="84.63"/>
    <n v="10"/>
    <n v="42.314999999999998"/>
    <x v="486"/>
    <x v="486"/>
  </r>
  <r>
    <x v="0"/>
    <x v="0"/>
    <x v="0"/>
    <x v="1"/>
    <x v="3"/>
    <n v="74.66"/>
    <n v="4"/>
    <n v="14.932"/>
    <x v="487"/>
    <x v="487"/>
  </r>
  <r>
    <x v="0"/>
    <x v="2"/>
    <x v="2"/>
    <x v="1"/>
    <x v="1"/>
    <n v="25.45"/>
    <n v="1"/>
    <n v="1.2725"/>
    <x v="488"/>
    <x v="488"/>
  </r>
  <r>
    <x v="0"/>
    <x v="2"/>
    <x v="2"/>
    <x v="1"/>
    <x v="3"/>
    <n v="67.77"/>
    <n v="1"/>
    <n v="3.3885000000000001"/>
    <x v="489"/>
    <x v="489"/>
  </r>
  <r>
    <x v="0"/>
    <x v="0"/>
    <x v="0"/>
    <x v="0"/>
    <x v="5"/>
    <n v="97.48"/>
    <n v="9"/>
    <n v="43.866"/>
    <x v="490"/>
    <x v="490"/>
  </r>
  <r>
    <x v="0"/>
    <x v="2"/>
    <x v="2"/>
    <x v="1"/>
    <x v="4"/>
    <n v="63.71"/>
    <n v="5"/>
    <n v="159.27500000000001"/>
    <x v="491"/>
    <x v="491"/>
  </r>
  <r>
    <x v="0"/>
    <x v="2"/>
    <x v="2"/>
    <x v="1"/>
    <x v="0"/>
    <n v="14.76"/>
    <n v="2"/>
    <n v="1.476"/>
    <x v="492"/>
    <x v="492"/>
  </r>
  <r>
    <x v="0"/>
    <x v="0"/>
    <x v="0"/>
    <x v="1"/>
    <x v="3"/>
    <n v="56.56"/>
    <n v="5"/>
    <n v="14.14"/>
    <x v="493"/>
    <x v="493"/>
  </r>
  <r>
    <x v="0"/>
    <x v="2"/>
    <x v="2"/>
    <x v="1"/>
    <x v="5"/>
    <n v="76.599999999999994"/>
    <n v="10"/>
    <n v="38.299999999999997"/>
    <x v="494"/>
    <x v="494"/>
  </r>
  <r>
    <x v="0"/>
    <x v="1"/>
    <x v="1"/>
    <x v="0"/>
    <x v="1"/>
    <n v="60.95"/>
    <n v="1"/>
    <n v="3.0474999999999999"/>
    <x v="495"/>
    <x v="495"/>
  </r>
  <r>
    <x v="0"/>
    <x v="2"/>
    <x v="2"/>
    <x v="1"/>
    <x v="2"/>
    <n v="97.38"/>
    <n v="10"/>
    <n v="48.69"/>
    <x v="496"/>
    <x v="496"/>
  </r>
  <r>
    <x v="0"/>
    <x v="0"/>
    <x v="0"/>
    <x v="0"/>
    <x v="4"/>
    <n v="88.34"/>
    <n v="7"/>
    <n v="30.919"/>
    <x v="497"/>
    <x v="497"/>
  </r>
  <r>
    <x v="1"/>
    <x v="0"/>
    <x v="0"/>
    <x v="1"/>
    <x v="2"/>
    <n v="46.33"/>
    <n v="7"/>
    <n v="162.155"/>
    <x v="498"/>
    <x v="498"/>
  </r>
  <r>
    <x v="1"/>
    <x v="0"/>
    <x v="0"/>
    <x v="0"/>
    <x v="0"/>
    <n v="58.22"/>
    <n v="8"/>
    <n v="23.288"/>
    <x v="499"/>
    <x v="499"/>
  </r>
  <r>
    <x v="1"/>
    <x v="0"/>
    <x v="0"/>
    <x v="1"/>
    <x v="5"/>
    <n v="86.31"/>
    <n v="7"/>
    <n v="302.08499999999998"/>
    <x v="500"/>
    <x v="500"/>
  </r>
  <r>
    <x v="1"/>
    <x v="1"/>
    <x v="1"/>
    <x v="1"/>
    <x v="1"/>
    <n v="85.39"/>
    <n v="7"/>
    <n v="298.86500000000001"/>
    <x v="501"/>
    <x v="501"/>
  </r>
  <r>
    <x v="1"/>
    <x v="2"/>
    <x v="2"/>
    <x v="0"/>
    <x v="1"/>
    <n v="25.51"/>
    <n v="4"/>
    <n v="5.1020000000000003"/>
    <x v="502"/>
    <x v="502"/>
  </r>
  <r>
    <x v="1"/>
    <x v="0"/>
    <x v="0"/>
    <x v="1"/>
    <x v="3"/>
    <n v="43.19"/>
    <n v="10"/>
    <n v="21.594999999999999"/>
    <x v="503"/>
    <x v="503"/>
  </r>
  <r>
    <x v="1"/>
    <x v="0"/>
    <x v="0"/>
    <x v="1"/>
    <x v="5"/>
    <n v="72.61"/>
    <n v="6"/>
    <n v="21.783000000000001"/>
    <x v="504"/>
    <x v="504"/>
  </r>
  <r>
    <x v="1"/>
    <x v="0"/>
    <x v="0"/>
    <x v="1"/>
    <x v="3"/>
    <n v="54.67"/>
    <n v="3"/>
    <n v="8.2004999999999999"/>
    <x v="505"/>
    <x v="505"/>
  </r>
  <r>
    <x v="1"/>
    <x v="1"/>
    <x v="1"/>
    <x v="0"/>
    <x v="1"/>
    <n v="86.04"/>
    <n v="5"/>
    <n v="21.51"/>
    <x v="506"/>
    <x v="506"/>
  </r>
  <r>
    <x v="1"/>
    <x v="2"/>
    <x v="2"/>
    <x v="1"/>
    <x v="0"/>
    <n v="87.98"/>
    <n v="3"/>
    <n v="13.196999999999999"/>
    <x v="507"/>
    <x v="507"/>
  </r>
  <r>
    <x v="1"/>
    <x v="2"/>
    <x v="2"/>
    <x v="1"/>
    <x v="2"/>
    <n v="33.200000000000003"/>
    <n v="2"/>
    <n v="3.32"/>
    <x v="508"/>
    <x v="508"/>
  </r>
  <r>
    <x v="1"/>
    <x v="0"/>
    <x v="0"/>
    <x v="1"/>
    <x v="1"/>
    <n v="34.56"/>
    <n v="5"/>
    <n v="8.64"/>
    <x v="509"/>
    <x v="509"/>
  </r>
  <r>
    <x v="1"/>
    <x v="0"/>
    <x v="0"/>
    <x v="0"/>
    <x v="5"/>
    <n v="88.63"/>
    <n v="3"/>
    <n v="132.94499999999999"/>
    <x v="510"/>
    <x v="510"/>
  </r>
  <r>
    <x v="1"/>
    <x v="2"/>
    <x v="2"/>
    <x v="1"/>
    <x v="4"/>
    <n v="33.520000000000003"/>
    <n v="1"/>
    <n v="1.6759999999999999"/>
    <x v="511"/>
    <x v="511"/>
  </r>
  <r>
    <x v="1"/>
    <x v="0"/>
    <x v="0"/>
    <x v="1"/>
    <x v="0"/>
    <n v="24.89"/>
    <n v="9"/>
    <n v="11.2005"/>
    <x v="512"/>
    <x v="512"/>
  </r>
  <r>
    <x v="1"/>
    <x v="2"/>
    <x v="2"/>
    <x v="1"/>
    <x v="4"/>
    <n v="94.13"/>
    <n v="5"/>
    <n v="235.32499999999999"/>
    <x v="513"/>
    <x v="513"/>
  </r>
  <r>
    <x v="1"/>
    <x v="2"/>
    <x v="2"/>
    <x v="0"/>
    <x v="5"/>
    <n v="78.069999999999993"/>
    <n v="9"/>
    <n v="351.315"/>
    <x v="514"/>
    <x v="514"/>
  </r>
  <r>
    <x v="1"/>
    <x v="2"/>
    <x v="2"/>
    <x v="1"/>
    <x v="5"/>
    <n v="83.78"/>
    <n v="8"/>
    <n v="33.512"/>
    <x v="515"/>
    <x v="515"/>
  </r>
  <r>
    <x v="1"/>
    <x v="0"/>
    <x v="0"/>
    <x v="1"/>
    <x v="0"/>
    <n v="96.58"/>
    <n v="2"/>
    <n v="9.6579999999999995"/>
    <x v="516"/>
    <x v="516"/>
  </r>
  <r>
    <x v="1"/>
    <x v="0"/>
    <x v="0"/>
    <x v="0"/>
    <x v="5"/>
    <n v="62.62"/>
    <n v="5"/>
    <n v="15.654999999999999"/>
    <x v="517"/>
    <x v="517"/>
  </r>
  <r>
    <x v="1"/>
    <x v="2"/>
    <x v="2"/>
    <x v="0"/>
    <x v="2"/>
    <n v="30.12"/>
    <n v="8"/>
    <n v="12.048"/>
    <x v="518"/>
    <x v="518"/>
  </r>
  <r>
    <x v="1"/>
    <x v="1"/>
    <x v="1"/>
    <x v="0"/>
    <x v="2"/>
    <n v="56.11"/>
    <n v="2"/>
    <n v="5.6109999999999998"/>
    <x v="519"/>
    <x v="519"/>
  </r>
  <r>
    <x v="1"/>
    <x v="1"/>
    <x v="1"/>
    <x v="0"/>
    <x v="0"/>
    <n v="15.37"/>
    <n v="2"/>
    <n v="1.5369999999999999"/>
    <x v="520"/>
    <x v="520"/>
  </r>
  <r>
    <x v="1"/>
    <x v="2"/>
    <x v="2"/>
    <x v="0"/>
    <x v="0"/>
    <n v="56.69"/>
    <n v="9"/>
    <n v="255.10499999999999"/>
    <x v="521"/>
    <x v="521"/>
  </r>
  <r>
    <x v="1"/>
    <x v="2"/>
    <x v="2"/>
    <x v="0"/>
    <x v="1"/>
    <n v="18.93"/>
    <n v="6"/>
    <n v="5.6790000000000003"/>
    <x v="522"/>
    <x v="522"/>
  </r>
  <r>
    <x v="1"/>
    <x v="1"/>
    <x v="1"/>
    <x v="0"/>
    <x v="3"/>
    <n v="91.4"/>
    <n v="7"/>
    <n v="31.99"/>
    <x v="523"/>
    <x v="523"/>
  </r>
  <r>
    <x v="1"/>
    <x v="1"/>
    <x v="1"/>
    <x v="0"/>
    <x v="4"/>
    <n v="15.43"/>
    <n v="1"/>
    <n v="7.7149999999999999"/>
    <x v="524"/>
    <x v="524"/>
  </r>
  <r>
    <x v="1"/>
    <x v="2"/>
    <x v="2"/>
    <x v="1"/>
    <x v="2"/>
    <n v="16.16"/>
    <n v="2"/>
    <n v="1.6160000000000001"/>
    <x v="525"/>
    <x v="525"/>
  </r>
  <r>
    <x v="1"/>
    <x v="0"/>
    <x v="0"/>
    <x v="0"/>
    <x v="2"/>
    <n v="44.34"/>
    <n v="2"/>
    <n v="4.4340000000000002"/>
    <x v="526"/>
    <x v="526"/>
  </r>
  <r>
    <x v="1"/>
    <x v="0"/>
    <x v="0"/>
    <x v="1"/>
    <x v="0"/>
    <n v="89.6"/>
    <n v="8"/>
    <n v="35.840000000000003"/>
    <x v="527"/>
    <x v="527"/>
  </r>
  <r>
    <x v="1"/>
    <x v="1"/>
    <x v="1"/>
    <x v="1"/>
    <x v="1"/>
    <n v="30.61"/>
    <n v="6"/>
    <n v="9.1829999999999998"/>
    <x v="528"/>
    <x v="528"/>
  </r>
  <r>
    <x v="1"/>
    <x v="1"/>
    <x v="1"/>
    <x v="1"/>
    <x v="2"/>
    <n v="55.73"/>
    <n v="6"/>
    <n v="16.719000000000001"/>
    <x v="529"/>
    <x v="529"/>
  </r>
  <r>
    <x v="1"/>
    <x v="0"/>
    <x v="0"/>
    <x v="0"/>
    <x v="5"/>
    <n v="15.81"/>
    <n v="10"/>
    <n v="7.9050000000000002"/>
    <x v="530"/>
    <x v="530"/>
  </r>
  <r>
    <x v="1"/>
    <x v="2"/>
    <x v="2"/>
    <x v="0"/>
    <x v="0"/>
    <n v="75.739999999999995"/>
    <n v="4"/>
    <n v="15.148"/>
    <x v="531"/>
    <x v="531"/>
  </r>
  <r>
    <x v="1"/>
    <x v="0"/>
    <x v="0"/>
    <x v="0"/>
    <x v="0"/>
    <n v="15.87"/>
    <n v="10"/>
    <n v="7.9349999999999996"/>
    <x v="532"/>
    <x v="532"/>
  </r>
  <r>
    <x v="1"/>
    <x v="0"/>
    <x v="0"/>
    <x v="1"/>
    <x v="5"/>
    <n v="78.77"/>
    <n v="10"/>
    <n v="39.384999999999998"/>
    <x v="533"/>
    <x v="533"/>
  </r>
  <r>
    <x v="1"/>
    <x v="1"/>
    <x v="1"/>
    <x v="1"/>
    <x v="3"/>
    <n v="89.48"/>
    <n v="10"/>
    <n v="44.74"/>
    <x v="534"/>
    <x v="534"/>
  </r>
  <r>
    <x v="1"/>
    <x v="1"/>
    <x v="1"/>
    <x v="1"/>
    <x v="4"/>
    <n v="62.12"/>
    <n v="10"/>
    <n v="31.06"/>
    <x v="535"/>
    <x v="535"/>
  </r>
  <r>
    <x v="1"/>
    <x v="0"/>
    <x v="0"/>
    <x v="1"/>
    <x v="2"/>
    <n v="74.67"/>
    <n v="9"/>
    <n v="336.01499999999999"/>
    <x v="536"/>
    <x v="536"/>
  </r>
  <r>
    <x v="1"/>
    <x v="1"/>
    <x v="1"/>
    <x v="0"/>
    <x v="4"/>
    <n v="49.04"/>
    <n v="9"/>
    <n v="22.068000000000001"/>
    <x v="537"/>
    <x v="537"/>
  </r>
  <r>
    <x v="1"/>
    <x v="1"/>
    <x v="1"/>
    <x v="1"/>
    <x v="3"/>
    <n v="19.25"/>
    <n v="8"/>
    <n v="7.7"/>
    <x v="538"/>
    <x v="538"/>
  </r>
  <r>
    <x v="1"/>
    <x v="1"/>
    <x v="1"/>
    <x v="0"/>
    <x v="5"/>
    <n v="48.91"/>
    <n v="5"/>
    <n v="12.227499999999999"/>
    <x v="539"/>
    <x v="539"/>
  </r>
  <r>
    <x v="1"/>
    <x v="1"/>
    <x v="1"/>
    <x v="1"/>
    <x v="4"/>
    <n v="76.52"/>
    <n v="5"/>
    <n v="19.13"/>
    <x v="540"/>
    <x v="540"/>
  </r>
  <r>
    <x v="1"/>
    <x v="0"/>
    <x v="0"/>
    <x v="0"/>
    <x v="3"/>
    <n v="49.38"/>
    <n v="7"/>
    <n v="17.283000000000001"/>
    <x v="541"/>
    <x v="541"/>
  </r>
  <r>
    <x v="1"/>
    <x v="0"/>
    <x v="0"/>
    <x v="1"/>
    <x v="5"/>
    <n v="42.47"/>
    <n v="1"/>
    <n v="2.1234999999999999"/>
    <x v="542"/>
    <x v="542"/>
  </r>
  <r>
    <x v="1"/>
    <x v="2"/>
    <x v="2"/>
    <x v="0"/>
    <x v="0"/>
    <n v="64.36"/>
    <n v="9"/>
    <n v="28.962"/>
    <x v="543"/>
    <x v="543"/>
  </r>
  <r>
    <x v="1"/>
    <x v="1"/>
    <x v="1"/>
    <x v="1"/>
    <x v="0"/>
    <n v="89.75"/>
    <n v="1"/>
    <n v="4.4874999999999998"/>
    <x v="544"/>
    <x v="544"/>
  </r>
  <r>
    <x v="1"/>
    <x v="0"/>
    <x v="0"/>
    <x v="1"/>
    <x v="1"/>
    <n v="97.16"/>
    <n v="1"/>
    <n v="4.8579999999999997"/>
    <x v="545"/>
    <x v="545"/>
  </r>
  <r>
    <x v="1"/>
    <x v="2"/>
    <x v="2"/>
    <x v="1"/>
    <x v="0"/>
    <n v="87.87"/>
    <n v="10"/>
    <n v="43.935000000000002"/>
    <x v="546"/>
    <x v="546"/>
  </r>
  <r>
    <x v="1"/>
    <x v="0"/>
    <x v="0"/>
    <x v="1"/>
    <x v="3"/>
    <n v="52.75"/>
    <n v="3"/>
    <n v="7.9124999999999996"/>
    <x v="547"/>
    <x v="547"/>
  </r>
  <r>
    <x v="1"/>
    <x v="2"/>
    <x v="2"/>
    <x v="1"/>
    <x v="2"/>
    <n v="82.7"/>
    <n v="6"/>
    <n v="24.81"/>
    <x v="548"/>
    <x v="548"/>
  </r>
  <r>
    <x v="1"/>
    <x v="1"/>
    <x v="1"/>
    <x v="0"/>
    <x v="4"/>
    <n v="48.71"/>
    <n v="1"/>
    <n v="2.4355000000000002"/>
    <x v="549"/>
    <x v="549"/>
  </r>
  <r>
    <x v="1"/>
    <x v="1"/>
    <x v="1"/>
    <x v="1"/>
    <x v="4"/>
    <n v="78.55"/>
    <n v="9"/>
    <n v="353.47500000000002"/>
    <x v="550"/>
    <x v="550"/>
  </r>
  <r>
    <x v="1"/>
    <x v="0"/>
    <x v="0"/>
    <x v="1"/>
    <x v="3"/>
    <n v="58.26"/>
    <n v="6"/>
    <n v="17.478000000000002"/>
    <x v="551"/>
    <x v="551"/>
  </r>
  <r>
    <x v="1"/>
    <x v="2"/>
    <x v="2"/>
    <x v="1"/>
    <x v="0"/>
    <n v="30.35"/>
    <n v="7"/>
    <n v="10.6225"/>
    <x v="552"/>
    <x v="552"/>
  </r>
  <r>
    <x v="1"/>
    <x v="0"/>
    <x v="0"/>
    <x v="0"/>
    <x v="1"/>
    <n v="88.67"/>
    <n v="10"/>
    <n v="44.335000000000001"/>
    <x v="553"/>
    <x v="553"/>
  </r>
  <r>
    <x v="1"/>
    <x v="1"/>
    <x v="1"/>
    <x v="1"/>
    <x v="4"/>
    <n v="27.38"/>
    <n v="6"/>
    <n v="8.2140000000000004"/>
    <x v="554"/>
    <x v="554"/>
  </r>
  <r>
    <x v="1"/>
    <x v="0"/>
    <x v="0"/>
    <x v="1"/>
    <x v="5"/>
    <n v="62.13"/>
    <n v="6"/>
    <n v="18.638999999999999"/>
    <x v="555"/>
    <x v="555"/>
  </r>
  <r>
    <x v="1"/>
    <x v="1"/>
    <x v="1"/>
    <x v="0"/>
    <x v="1"/>
    <n v="81.97"/>
    <n v="10"/>
    <n v="40.984999999999999"/>
    <x v="556"/>
    <x v="556"/>
  </r>
  <r>
    <x v="1"/>
    <x v="0"/>
    <x v="0"/>
    <x v="0"/>
    <x v="2"/>
    <n v="58.07"/>
    <n v="9"/>
    <n v="261.315"/>
    <x v="557"/>
    <x v="557"/>
  </r>
  <r>
    <x v="1"/>
    <x v="2"/>
    <x v="2"/>
    <x v="0"/>
    <x v="4"/>
    <n v="21.94"/>
    <n v="5"/>
    <n v="5.4850000000000003"/>
    <x v="558"/>
    <x v="558"/>
  </r>
  <r>
    <x v="1"/>
    <x v="2"/>
    <x v="2"/>
    <x v="0"/>
    <x v="4"/>
    <n v="51.36"/>
    <n v="1"/>
    <n v="2.5680000000000001"/>
    <x v="559"/>
    <x v="559"/>
  </r>
  <r>
    <x v="1"/>
    <x v="2"/>
    <x v="2"/>
    <x v="1"/>
    <x v="2"/>
    <n v="53.44"/>
    <n v="2"/>
    <n v="5.3440000000000003"/>
    <x v="560"/>
    <x v="560"/>
  </r>
  <r>
    <x v="1"/>
    <x v="1"/>
    <x v="1"/>
    <x v="0"/>
    <x v="5"/>
    <n v="57.12"/>
    <n v="7"/>
    <n v="19.992000000000001"/>
    <x v="561"/>
    <x v="561"/>
  </r>
  <r>
    <x v="1"/>
    <x v="2"/>
    <x v="2"/>
    <x v="0"/>
    <x v="5"/>
    <n v="99.96"/>
    <n v="9"/>
    <n v="44.981999999999999"/>
    <x v="562"/>
    <x v="562"/>
  </r>
  <r>
    <x v="1"/>
    <x v="1"/>
    <x v="1"/>
    <x v="0"/>
    <x v="2"/>
    <n v="63.91"/>
    <n v="8"/>
    <n v="25.564"/>
    <x v="563"/>
    <x v="563"/>
  </r>
  <r>
    <x v="1"/>
    <x v="2"/>
    <x v="2"/>
    <x v="0"/>
    <x v="1"/>
    <n v="87.45"/>
    <n v="6"/>
    <n v="26.234999999999999"/>
    <x v="564"/>
    <x v="564"/>
  </r>
  <r>
    <x v="1"/>
    <x v="1"/>
    <x v="1"/>
    <x v="1"/>
    <x v="4"/>
    <n v="90.22"/>
    <n v="3"/>
    <n v="13.532999999999999"/>
    <x v="565"/>
    <x v="565"/>
  </r>
  <r>
    <x v="1"/>
    <x v="2"/>
    <x v="2"/>
    <x v="1"/>
    <x v="5"/>
    <n v="51.91"/>
    <n v="10"/>
    <n v="25.954999999999998"/>
    <x v="566"/>
    <x v="566"/>
  </r>
  <r>
    <x v="1"/>
    <x v="0"/>
    <x v="0"/>
    <x v="1"/>
    <x v="5"/>
    <n v="72.5"/>
    <n v="8"/>
    <n v="29"/>
    <x v="567"/>
    <x v="567"/>
  </r>
  <r>
    <x v="1"/>
    <x v="1"/>
    <x v="1"/>
    <x v="0"/>
    <x v="0"/>
    <n v="90.5"/>
    <n v="10"/>
    <n v="45.25"/>
    <x v="568"/>
    <x v="568"/>
  </r>
  <r>
    <x v="1"/>
    <x v="1"/>
    <x v="1"/>
    <x v="1"/>
    <x v="0"/>
    <n v="66.14"/>
    <n v="4"/>
    <n v="13.228"/>
    <x v="569"/>
    <x v="569"/>
  </r>
  <r>
    <x v="1"/>
    <x v="2"/>
    <x v="2"/>
    <x v="0"/>
    <x v="2"/>
    <n v="71.86"/>
    <n v="8"/>
    <n v="28.744"/>
    <x v="570"/>
    <x v="570"/>
  </r>
  <r>
    <x v="1"/>
    <x v="0"/>
    <x v="0"/>
    <x v="1"/>
    <x v="0"/>
    <n v="32.46"/>
    <n v="8"/>
    <n v="12.984"/>
    <x v="571"/>
    <x v="571"/>
  </r>
  <r>
    <x v="1"/>
    <x v="1"/>
    <x v="1"/>
    <x v="0"/>
    <x v="5"/>
    <n v="34.56"/>
    <n v="7"/>
    <n v="12.096"/>
    <x v="572"/>
    <x v="572"/>
  </r>
  <r>
    <x v="1"/>
    <x v="0"/>
    <x v="0"/>
    <x v="1"/>
    <x v="4"/>
    <n v="83.24"/>
    <n v="9"/>
    <n v="37.457999999999998"/>
    <x v="573"/>
    <x v="573"/>
  </r>
  <r>
    <x v="1"/>
    <x v="0"/>
    <x v="0"/>
    <x v="0"/>
    <x v="3"/>
    <n v="92.29"/>
    <n v="5"/>
    <n v="230.72499999999999"/>
    <x v="574"/>
    <x v="574"/>
  </r>
  <r>
    <x v="1"/>
    <x v="2"/>
    <x v="2"/>
    <x v="0"/>
    <x v="1"/>
    <n v="72.17"/>
    <n v="1"/>
    <n v="3.6084999999999998"/>
    <x v="575"/>
    <x v="575"/>
  </r>
  <r>
    <x v="1"/>
    <x v="2"/>
    <x v="2"/>
    <x v="1"/>
    <x v="2"/>
    <n v="50.28"/>
    <n v="5"/>
    <n v="12.57"/>
    <x v="476"/>
    <x v="476"/>
  </r>
  <r>
    <x v="1"/>
    <x v="2"/>
    <x v="2"/>
    <x v="0"/>
    <x v="0"/>
    <n v="97.22"/>
    <n v="9"/>
    <n v="43.749000000000002"/>
    <x v="576"/>
    <x v="576"/>
  </r>
  <r>
    <x v="1"/>
    <x v="2"/>
    <x v="2"/>
    <x v="1"/>
    <x v="5"/>
    <n v="93.39"/>
    <n v="6"/>
    <n v="28.016999999999999"/>
    <x v="577"/>
    <x v="577"/>
  </r>
  <r>
    <x v="1"/>
    <x v="0"/>
    <x v="0"/>
    <x v="1"/>
    <x v="5"/>
    <n v="63.69"/>
    <n v="1"/>
    <n v="3.1844999999999999"/>
    <x v="578"/>
    <x v="578"/>
  </r>
  <r>
    <x v="1"/>
    <x v="0"/>
    <x v="0"/>
    <x v="1"/>
    <x v="3"/>
    <n v="45.79"/>
    <n v="7"/>
    <n v="160.26499999999999"/>
    <x v="579"/>
    <x v="579"/>
  </r>
  <r>
    <x v="1"/>
    <x v="1"/>
    <x v="1"/>
    <x v="1"/>
    <x v="5"/>
    <n v="76.400000000000006"/>
    <n v="2"/>
    <n v="7.64"/>
    <x v="580"/>
    <x v="580"/>
  </r>
  <r>
    <x v="1"/>
    <x v="2"/>
    <x v="2"/>
    <x v="1"/>
    <x v="3"/>
    <n v="39.9"/>
    <n v="10"/>
    <n v="19.95"/>
    <x v="581"/>
    <x v="581"/>
  </r>
  <r>
    <x v="1"/>
    <x v="2"/>
    <x v="2"/>
    <x v="0"/>
    <x v="0"/>
    <n v="42.57"/>
    <n v="8"/>
    <n v="17.027999999999999"/>
    <x v="582"/>
    <x v="582"/>
  </r>
  <r>
    <x v="1"/>
    <x v="1"/>
    <x v="1"/>
    <x v="1"/>
    <x v="2"/>
    <n v="95.58"/>
    <n v="10"/>
    <n v="47.79"/>
    <x v="583"/>
    <x v="583"/>
  </r>
  <r>
    <x v="1"/>
    <x v="0"/>
    <x v="0"/>
    <x v="1"/>
    <x v="4"/>
    <n v="98.98"/>
    <n v="10"/>
    <n v="49.49"/>
    <x v="584"/>
    <x v="584"/>
  </r>
  <r>
    <x v="1"/>
    <x v="0"/>
    <x v="0"/>
    <x v="1"/>
    <x v="3"/>
    <n v="51.28"/>
    <n v="6"/>
    <n v="15.384"/>
    <x v="585"/>
    <x v="585"/>
  </r>
  <r>
    <x v="1"/>
    <x v="0"/>
    <x v="0"/>
    <x v="0"/>
    <x v="5"/>
    <n v="69.52"/>
    <n v="7"/>
    <n v="24.332000000000001"/>
    <x v="586"/>
    <x v="586"/>
  </r>
  <r>
    <x v="1"/>
    <x v="0"/>
    <x v="0"/>
    <x v="1"/>
    <x v="0"/>
    <n v="70.010000000000005"/>
    <n v="5"/>
    <n v="175.02500000000001"/>
    <x v="587"/>
    <x v="587"/>
  </r>
  <r>
    <x v="1"/>
    <x v="2"/>
    <x v="2"/>
    <x v="0"/>
    <x v="3"/>
    <n v="80.05"/>
    <n v="5"/>
    <n v="200.125"/>
    <x v="588"/>
    <x v="588"/>
  </r>
  <r>
    <x v="1"/>
    <x v="1"/>
    <x v="1"/>
    <x v="1"/>
    <x v="1"/>
    <n v="20.85"/>
    <n v="8"/>
    <n v="8.34"/>
    <x v="589"/>
    <x v="589"/>
  </r>
  <r>
    <x v="1"/>
    <x v="2"/>
    <x v="2"/>
    <x v="0"/>
    <x v="1"/>
    <n v="52.89"/>
    <n v="6"/>
    <n v="15.867000000000001"/>
    <x v="590"/>
    <x v="590"/>
  </r>
  <r>
    <x v="1"/>
    <x v="2"/>
    <x v="2"/>
    <x v="1"/>
    <x v="3"/>
    <n v="19.79"/>
    <n v="8"/>
    <n v="7.9160000000000004"/>
    <x v="591"/>
    <x v="591"/>
  </r>
  <r>
    <x v="1"/>
    <x v="0"/>
    <x v="0"/>
    <x v="0"/>
    <x v="2"/>
    <n v="33.840000000000003"/>
    <n v="9"/>
    <n v="15.228"/>
    <x v="592"/>
    <x v="592"/>
  </r>
  <r>
    <x v="1"/>
    <x v="0"/>
    <x v="0"/>
    <x v="0"/>
    <x v="3"/>
    <n v="22.17"/>
    <n v="8"/>
    <n v="8.8680000000000003"/>
    <x v="593"/>
    <x v="593"/>
  </r>
  <r>
    <x v="1"/>
    <x v="0"/>
    <x v="0"/>
    <x v="1"/>
    <x v="3"/>
    <n v="73.88"/>
    <n v="6"/>
    <n v="22.164000000000001"/>
    <x v="594"/>
    <x v="594"/>
  </r>
  <r>
    <x v="1"/>
    <x v="1"/>
    <x v="1"/>
    <x v="0"/>
    <x v="0"/>
    <n v="86.8"/>
    <n v="3"/>
    <n v="13.02"/>
    <x v="595"/>
    <x v="595"/>
  </r>
  <r>
    <x v="1"/>
    <x v="1"/>
    <x v="1"/>
    <x v="1"/>
    <x v="4"/>
    <n v="64.260000000000005"/>
    <n v="7"/>
    <n v="22.491"/>
    <x v="596"/>
    <x v="596"/>
  </r>
  <r>
    <x v="1"/>
    <x v="1"/>
    <x v="1"/>
    <x v="0"/>
    <x v="3"/>
    <n v="38.47"/>
    <n v="8"/>
    <n v="15.388"/>
    <x v="597"/>
    <x v="597"/>
  </r>
  <r>
    <x v="1"/>
    <x v="0"/>
    <x v="0"/>
    <x v="0"/>
    <x v="5"/>
    <n v="15.5"/>
    <n v="10"/>
    <n v="7.75"/>
    <x v="598"/>
    <x v="598"/>
  </r>
  <r>
    <x v="1"/>
    <x v="1"/>
    <x v="1"/>
    <x v="1"/>
    <x v="0"/>
    <n v="34.31"/>
    <n v="8"/>
    <n v="13.724"/>
    <x v="599"/>
    <x v="599"/>
  </r>
  <r>
    <x v="1"/>
    <x v="2"/>
    <x v="2"/>
    <x v="0"/>
    <x v="3"/>
    <n v="18.079999999999998"/>
    <n v="3"/>
    <n v="2.7120000000000002"/>
    <x v="600"/>
    <x v="600"/>
  </r>
  <r>
    <x v="1"/>
    <x v="2"/>
    <x v="2"/>
    <x v="0"/>
    <x v="2"/>
    <n v="46.47"/>
    <n v="4"/>
    <n v="9.2940000000000005"/>
    <x v="601"/>
    <x v="601"/>
  </r>
  <r>
    <x v="1"/>
    <x v="0"/>
    <x v="0"/>
    <x v="1"/>
    <x v="2"/>
    <n v="74.069999999999993"/>
    <n v="1"/>
    <n v="3.7035"/>
    <x v="602"/>
    <x v="602"/>
  </r>
  <r>
    <x v="1"/>
    <x v="2"/>
    <x v="2"/>
    <x v="1"/>
    <x v="2"/>
    <n v="25.55"/>
    <n v="4"/>
    <n v="5.1100000000000003"/>
    <x v="603"/>
    <x v="603"/>
  </r>
  <r>
    <x v="1"/>
    <x v="0"/>
    <x v="0"/>
    <x v="1"/>
    <x v="1"/>
    <n v="32.71"/>
    <n v="5"/>
    <n v="8.1775000000000002"/>
    <x v="604"/>
    <x v="604"/>
  </r>
  <r>
    <x v="1"/>
    <x v="1"/>
    <x v="1"/>
    <x v="0"/>
    <x v="0"/>
    <n v="43.7"/>
    <n v="2"/>
    <n v="4.37"/>
    <x v="605"/>
    <x v="605"/>
  </r>
  <r>
    <x v="1"/>
    <x v="1"/>
    <x v="1"/>
    <x v="1"/>
    <x v="0"/>
    <n v="41.5"/>
    <n v="4"/>
    <n v="8.3000000000000007"/>
    <x v="606"/>
    <x v="606"/>
  </r>
  <r>
    <x v="1"/>
    <x v="1"/>
    <x v="1"/>
    <x v="1"/>
    <x v="1"/>
    <n v="61.41"/>
    <n v="7"/>
    <n v="214.935"/>
    <x v="607"/>
    <x v="607"/>
  </r>
  <r>
    <x v="1"/>
    <x v="2"/>
    <x v="2"/>
    <x v="0"/>
    <x v="0"/>
    <n v="25.9"/>
    <n v="10"/>
    <n v="12.95"/>
    <x v="608"/>
    <x v="608"/>
  </r>
  <r>
    <x v="1"/>
    <x v="2"/>
    <x v="2"/>
    <x v="0"/>
    <x v="2"/>
    <n v="17.77"/>
    <n v="5"/>
    <n v="4.4424999999999999"/>
    <x v="609"/>
    <x v="609"/>
  </r>
  <r>
    <x v="1"/>
    <x v="0"/>
    <x v="0"/>
    <x v="1"/>
    <x v="1"/>
    <n v="26.23"/>
    <n v="9"/>
    <n v="11.8035"/>
    <x v="610"/>
    <x v="610"/>
  </r>
  <r>
    <x v="1"/>
    <x v="2"/>
    <x v="2"/>
    <x v="1"/>
    <x v="2"/>
    <n v="92.36"/>
    <n v="5"/>
    <n v="23.09"/>
    <x v="611"/>
    <x v="611"/>
  </r>
  <r>
    <x v="1"/>
    <x v="2"/>
    <x v="2"/>
    <x v="1"/>
    <x v="5"/>
    <n v="46.42"/>
    <n v="3"/>
    <n v="6.9630000000000001"/>
    <x v="612"/>
    <x v="612"/>
  </r>
  <r>
    <x v="1"/>
    <x v="0"/>
    <x v="0"/>
    <x v="1"/>
    <x v="2"/>
    <n v="18.28"/>
    <n v="1"/>
    <n v="914"/>
    <x v="613"/>
    <x v="613"/>
  </r>
  <r>
    <x v="1"/>
    <x v="2"/>
    <x v="2"/>
    <x v="1"/>
    <x v="4"/>
    <n v="94.87"/>
    <n v="8"/>
    <n v="37.948"/>
    <x v="614"/>
    <x v="614"/>
  </r>
  <r>
    <x v="1"/>
    <x v="2"/>
    <x v="2"/>
    <x v="1"/>
    <x v="1"/>
    <n v="45.35"/>
    <n v="6"/>
    <n v="13.605"/>
    <x v="615"/>
    <x v="615"/>
  </r>
  <r>
    <x v="1"/>
    <x v="2"/>
    <x v="2"/>
    <x v="1"/>
    <x v="3"/>
    <n v="62.08"/>
    <n v="7"/>
    <n v="21.728000000000002"/>
    <x v="616"/>
    <x v="616"/>
  </r>
  <r>
    <x v="1"/>
    <x v="1"/>
    <x v="1"/>
    <x v="1"/>
    <x v="1"/>
    <n v="11.81"/>
    <n v="5"/>
    <n v="2.9525000000000001"/>
    <x v="617"/>
    <x v="617"/>
  </r>
  <r>
    <x v="1"/>
    <x v="0"/>
    <x v="0"/>
    <x v="1"/>
    <x v="3"/>
    <n v="43.25"/>
    <n v="2"/>
    <n v="4.3250000000000002"/>
    <x v="618"/>
    <x v="618"/>
  </r>
  <r>
    <x v="1"/>
    <x v="2"/>
    <x v="2"/>
    <x v="0"/>
    <x v="0"/>
    <n v="69.37"/>
    <n v="9"/>
    <n v="312.16500000000002"/>
    <x v="619"/>
    <x v="619"/>
  </r>
  <r>
    <x v="1"/>
    <x v="1"/>
    <x v="1"/>
    <x v="0"/>
    <x v="1"/>
    <n v="37.06"/>
    <n v="4"/>
    <n v="7.4119999999999999"/>
    <x v="620"/>
    <x v="620"/>
  </r>
  <r>
    <x v="1"/>
    <x v="2"/>
    <x v="2"/>
    <x v="0"/>
    <x v="4"/>
    <n v="73.819999999999993"/>
    <n v="4"/>
    <n v="14.763999999999999"/>
    <x v="621"/>
    <x v="621"/>
  </r>
  <r>
    <x v="1"/>
    <x v="0"/>
    <x v="0"/>
    <x v="0"/>
    <x v="0"/>
    <n v="51.94"/>
    <n v="10"/>
    <n v="25.97"/>
    <x v="622"/>
    <x v="622"/>
  </r>
  <r>
    <x v="1"/>
    <x v="1"/>
    <x v="1"/>
    <x v="1"/>
    <x v="0"/>
    <n v="17.41"/>
    <n v="5"/>
    <n v="4.3525"/>
    <x v="623"/>
    <x v="623"/>
  </r>
  <r>
    <x v="1"/>
    <x v="0"/>
    <x v="0"/>
    <x v="1"/>
    <x v="4"/>
    <n v="89.69"/>
    <n v="1"/>
    <n v="4.4844999999999997"/>
    <x v="624"/>
    <x v="624"/>
  </r>
  <r>
    <x v="1"/>
    <x v="0"/>
    <x v="0"/>
    <x v="1"/>
    <x v="3"/>
    <n v="24.94"/>
    <n v="9"/>
    <n v="11.223000000000001"/>
    <x v="625"/>
    <x v="625"/>
  </r>
  <r>
    <x v="1"/>
    <x v="0"/>
    <x v="0"/>
    <x v="1"/>
    <x v="0"/>
    <n v="59.77"/>
    <n v="2"/>
    <n v="5.9770000000000003"/>
    <x v="626"/>
    <x v="626"/>
  </r>
  <r>
    <x v="1"/>
    <x v="1"/>
    <x v="1"/>
    <x v="0"/>
    <x v="4"/>
    <n v="93.2"/>
    <n v="2"/>
    <n v="9.32"/>
    <x v="627"/>
    <x v="627"/>
  </r>
  <r>
    <x v="1"/>
    <x v="0"/>
    <x v="0"/>
    <x v="0"/>
    <x v="2"/>
    <n v="62.65"/>
    <n v="4"/>
    <n v="12.53"/>
    <x v="628"/>
    <x v="628"/>
  </r>
  <r>
    <x v="1"/>
    <x v="2"/>
    <x v="2"/>
    <x v="1"/>
    <x v="2"/>
    <n v="93.87"/>
    <n v="8"/>
    <n v="37.548000000000002"/>
    <x v="629"/>
    <x v="629"/>
  </r>
  <r>
    <x v="1"/>
    <x v="0"/>
    <x v="0"/>
    <x v="0"/>
    <x v="2"/>
    <n v="47.59"/>
    <n v="8"/>
    <n v="19.036000000000001"/>
    <x v="630"/>
    <x v="630"/>
  </r>
  <r>
    <x v="1"/>
    <x v="0"/>
    <x v="0"/>
    <x v="0"/>
    <x v="4"/>
    <n v="17.940000000000001"/>
    <n v="5"/>
    <n v="4.4850000000000003"/>
    <x v="631"/>
    <x v="631"/>
  </r>
  <r>
    <x v="1"/>
    <x v="0"/>
    <x v="0"/>
    <x v="0"/>
    <x v="1"/>
    <n v="77.72"/>
    <n v="4"/>
    <n v="15.544"/>
    <x v="632"/>
    <x v="632"/>
  </r>
  <r>
    <x v="1"/>
    <x v="2"/>
    <x v="2"/>
    <x v="1"/>
    <x v="3"/>
    <n v="73.06"/>
    <n v="7"/>
    <n v="25.571000000000002"/>
    <x v="633"/>
    <x v="633"/>
  </r>
  <r>
    <x v="1"/>
    <x v="2"/>
    <x v="2"/>
    <x v="0"/>
    <x v="3"/>
    <n v="46.55"/>
    <n v="9"/>
    <n v="209.47499999999999"/>
    <x v="634"/>
    <x v="634"/>
  </r>
  <r>
    <x v="1"/>
    <x v="1"/>
    <x v="1"/>
    <x v="0"/>
    <x v="4"/>
    <n v="35.19"/>
    <n v="10"/>
    <n v="17.594999999999999"/>
    <x v="635"/>
    <x v="635"/>
  </r>
  <r>
    <x v="1"/>
    <x v="0"/>
    <x v="0"/>
    <x v="1"/>
    <x v="2"/>
    <n v="23.75"/>
    <n v="4"/>
    <n v="4.75"/>
    <x v="636"/>
    <x v="636"/>
  </r>
  <r>
    <x v="1"/>
    <x v="0"/>
    <x v="0"/>
    <x v="0"/>
    <x v="2"/>
    <n v="58.9"/>
    <n v="8"/>
    <n v="23.56"/>
    <x v="637"/>
    <x v="637"/>
  </r>
  <r>
    <x v="1"/>
    <x v="2"/>
    <x v="2"/>
    <x v="0"/>
    <x v="4"/>
    <n v="32.619999999999997"/>
    <n v="4"/>
    <n v="6.524"/>
    <x v="638"/>
    <x v="638"/>
  </r>
  <r>
    <x v="1"/>
    <x v="0"/>
    <x v="0"/>
    <x v="0"/>
    <x v="1"/>
    <n v="66.349999999999994"/>
    <n v="1"/>
    <n v="3.3174999999999999"/>
    <x v="639"/>
    <x v="639"/>
  </r>
  <r>
    <x v="1"/>
    <x v="0"/>
    <x v="0"/>
    <x v="0"/>
    <x v="2"/>
    <n v="25.91"/>
    <n v="6"/>
    <n v="7.7729999999999997"/>
    <x v="640"/>
    <x v="640"/>
  </r>
  <r>
    <x v="1"/>
    <x v="0"/>
    <x v="0"/>
    <x v="0"/>
    <x v="1"/>
    <n v="32.25"/>
    <n v="4"/>
    <n v="6.45"/>
    <x v="641"/>
    <x v="641"/>
  </r>
  <r>
    <x v="1"/>
    <x v="1"/>
    <x v="1"/>
    <x v="0"/>
    <x v="1"/>
    <n v="65.94"/>
    <n v="4"/>
    <n v="13.188000000000001"/>
    <x v="642"/>
    <x v="642"/>
  </r>
  <r>
    <x v="1"/>
    <x v="2"/>
    <x v="2"/>
    <x v="1"/>
    <x v="5"/>
    <n v="54.45"/>
    <n v="1"/>
    <n v="2.7225000000000001"/>
    <x v="643"/>
    <x v="643"/>
  </r>
  <r>
    <x v="1"/>
    <x v="1"/>
    <x v="1"/>
    <x v="1"/>
    <x v="2"/>
    <n v="35.47"/>
    <n v="4"/>
    <n v="7.0940000000000003"/>
    <x v="644"/>
    <x v="644"/>
  </r>
  <r>
    <x v="1"/>
    <x v="0"/>
    <x v="0"/>
    <x v="0"/>
    <x v="2"/>
    <n v="70.739999999999995"/>
    <n v="4"/>
    <n v="14.148"/>
    <x v="645"/>
    <x v="645"/>
  </r>
  <r>
    <x v="1"/>
    <x v="2"/>
    <x v="2"/>
    <x v="1"/>
    <x v="4"/>
    <n v="47.97"/>
    <n v="7"/>
    <n v="167.89500000000001"/>
    <x v="646"/>
    <x v="646"/>
  </r>
  <r>
    <x v="1"/>
    <x v="1"/>
    <x v="1"/>
    <x v="0"/>
    <x v="4"/>
    <n v="70.989999999999995"/>
    <n v="10"/>
    <n v="35.494999999999997"/>
    <x v="647"/>
    <x v="647"/>
  </r>
  <r>
    <x v="1"/>
    <x v="0"/>
    <x v="0"/>
    <x v="0"/>
    <x v="5"/>
    <n v="44.02"/>
    <n v="10"/>
    <n v="22.01"/>
    <x v="648"/>
    <x v="648"/>
  </r>
  <r>
    <x v="1"/>
    <x v="1"/>
    <x v="1"/>
    <x v="1"/>
    <x v="2"/>
    <n v="37"/>
    <n v="1"/>
    <n v="1.85"/>
    <x v="649"/>
    <x v="649"/>
  </r>
  <r>
    <x v="1"/>
    <x v="0"/>
    <x v="0"/>
    <x v="0"/>
    <x v="0"/>
    <n v="99.83"/>
    <n v="6"/>
    <n v="29.949000000000002"/>
    <x v="650"/>
    <x v="650"/>
  </r>
  <r>
    <x v="1"/>
    <x v="2"/>
    <x v="2"/>
    <x v="1"/>
    <x v="0"/>
    <n v="66.680000000000007"/>
    <n v="5"/>
    <n v="16.670000000000002"/>
    <x v="651"/>
    <x v="651"/>
  </r>
  <r>
    <x v="1"/>
    <x v="1"/>
    <x v="1"/>
    <x v="0"/>
    <x v="2"/>
    <n v="74.86"/>
    <n v="1"/>
    <n v="3.7429999999999999"/>
    <x v="652"/>
    <x v="652"/>
  </r>
  <r>
    <x v="1"/>
    <x v="2"/>
    <x v="2"/>
    <x v="0"/>
    <x v="1"/>
    <n v="40.299999999999997"/>
    <n v="10"/>
    <n v="20.149999999999999"/>
    <x v="653"/>
    <x v="653"/>
  </r>
  <r>
    <x v="1"/>
    <x v="1"/>
    <x v="1"/>
    <x v="1"/>
    <x v="1"/>
    <n v="27.85"/>
    <n v="7"/>
    <n v="9.7475000000000005"/>
    <x v="654"/>
    <x v="654"/>
  </r>
  <r>
    <x v="1"/>
    <x v="2"/>
    <x v="2"/>
    <x v="1"/>
    <x v="0"/>
    <n v="18.11"/>
    <n v="10"/>
    <n v="9.0549999999999997"/>
    <x v="655"/>
    <x v="655"/>
  </r>
  <r>
    <x v="1"/>
    <x v="1"/>
    <x v="1"/>
    <x v="1"/>
    <x v="1"/>
    <n v="28.84"/>
    <n v="4"/>
    <n v="5.7679999999999998"/>
    <x v="656"/>
    <x v="656"/>
  </r>
  <r>
    <x v="1"/>
    <x v="0"/>
    <x v="0"/>
    <x v="0"/>
    <x v="2"/>
    <n v="78.38"/>
    <n v="6"/>
    <n v="23.513999999999999"/>
    <x v="657"/>
    <x v="657"/>
  </r>
  <r>
    <x v="1"/>
    <x v="0"/>
    <x v="0"/>
    <x v="0"/>
    <x v="2"/>
    <n v="60.01"/>
    <n v="4"/>
    <n v="12.002000000000001"/>
    <x v="658"/>
    <x v="658"/>
  </r>
  <r>
    <x v="1"/>
    <x v="1"/>
    <x v="1"/>
    <x v="1"/>
    <x v="4"/>
    <n v="99.82"/>
    <n v="2"/>
    <n v="9.9819999999999993"/>
    <x v="659"/>
    <x v="659"/>
  </r>
  <r>
    <x v="1"/>
    <x v="2"/>
    <x v="2"/>
    <x v="0"/>
    <x v="0"/>
    <n v="39.01"/>
    <n v="1"/>
    <n v="1.9504999999999999"/>
    <x v="660"/>
    <x v="660"/>
  </r>
  <r>
    <x v="1"/>
    <x v="1"/>
    <x v="1"/>
    <x v="1"/>
    <x v="3"/>
    <n v="48.61"/>
    <n v="1"/>
    <n v="2.4304999999999999"/>
    <x v="661"/>
    <x v="661"/>
  </r>
  <r>
    <x v="1"/>
    <x v="0"/>
    <x v="0"/>
    <x v="0"/>
    <x v="1"/>
    <n v="72.2"/>
    <n v="7"/>
    <n v="25.27"/>
    <x v="662"/>
    <x v="662"/>
  </r>
  <r>
    <x v="1"/>
    <x v="2"/>
    <x v="2"/>
    <x v="0"/>
    <x v="5"/>
    <n v="79.930000000000007"/>
    <n v="6"/>
    <n v="23.978999999999999"/>
    <x v="663"/>
    <x v="663"/>
  </r>
  <r>
    <x v="1"/>
    <x v="1"/>
    <x v="1"/>
    <x v="0"/>
    <x v="4"/>
    <n v="69.33"/>
    <n v="2"/>
    <n v="6.9329999999999998"/>
    <x v="664"/>
    <x v="664"/>
  </r>
  <r>
    <x v="1"/>
    <x v="1"/>
    <x v="1"/>
    <x v="0"/>
    <x v="3"/>
    <n v="99.37"/>
    <n v="2"/>
    <n v="9.9369999999999994"/>
    <x v="665"/>
    <x v="665"/>
  </r>
  <r>
    <x v="1"/>
    <x v="1"/>
    <x v="1"/>
    <x v="0"/>
    <x v="1"/>
    <n v="74.790000000000006"/>
    <n v="5"/>
    <n v="186.97499999999999"/>
    <x v="666"/>
    <x v="666"/>
  </r>
  <r>
    <x v="1"/>
    <x v="1"/>
    <x v="1"/>
    <x v="0"/>
    <x v="0"/>
    <n v="44.07"/>
    <n v="4"/>
    <n v="8.8140000000000001"/>
    <x v="667"/>
    <x v="667"/>
  </r>
  <r>
    <x v="1"/>
    <x v="0"/>
    <x v="0"/>
    <x v="1"/>
    <x v="0"/>
    <n v="15.26"/>
    <n v="6"/>
    <n v="4.5780000000000003"/>
    <x v="668"/>
    <x v="668"/>
  </r>
  <r>
    <x v="1"/>
    <x v="0"/>
    <x v="0"/>
    <x v="1"/>
    <x v="2"/>
    <n v="21.52"/>
    <n v="6"/>
    <n v="6.4560000000000004"/>
    <x v="669"/>
    <x v="669"/>
  </r>
  <r>
    <x v="1"/>
    <x v="2"/>
    <x v="2"/>
    <x v="1"/>
    <x v="5"/>
    <n v="97.74"/>
    <n v="4"/>
    <n v="19.547999999999998"/>
    <x v="670"/>
    <x v="670"/>
  </r>
  <r>
    <x v="1"/>
    <x v="0"/>
    <x v="0"/>
    <x v="0"/>
    <x v="3"/>
    <n v="99.78"/>
    <n v="5"/>
    <n v="24.945"/>
    <x v="671"/>
    <x v="671"/>
  </r>
  <r>
    <x v="1"/>
    <x v="1"/>
    <x v="1"/>
    <x v="0"/>
    <x v="3"/>
    <n v="94.26"/>
    <n v="4"/>
    <n v="18.852"/>
    <x v="672"/>
    <x v="672"/>
  </r>
  <r>
    <x v="1"/>
    <x v="2"/>
    <x v="2"/>
    <x v="0"/>
    <x v="0"/>
    <n v="51.13"/>
    <n v="4"/>
    <n v="10.226000000000001"/>
    <x v="673"/>
    <x v="673"/>
  </r>
  <r>
    <x v="1"/>
    <x v="0"/>
    <x v="0"/>
    <x v="0"/>
    <x v="1"/>
    <n v="36.36"/>
    <n v="4"/>
    <n v="7.2720000000000002"/>
    <x v="674"/>
    <x v="674"/>
  </r>
  <r>
    <x v="1"/>
    <x v="2"/>
    <x v="2"/>
    <x v="1"/>
    <x v="2"/>
    <n v="22.02"/>
    <n v="9"/>
    <n v="9.9090000000000007"/>
    <x v="675"/>
    <x v="675"/>
  </r>
  <r>
    <x v="1"/>
    <x v="0"/>
    <x v="0"/>
    <x v="1"/>
    <x v="3"/>
    <n v="32.9"/>
    <n v="3"/>
    <n v="4.9349999999999996"/>
    <x v="676"/>
    <x v="676"/>
  </r>
  <r>
    <x v="1"/>
    <x v="0"/>
    <x v="0"/>
    <x v="1"/>
    <x v="4"/>
    <n v="77.02"/>
    <n v="5"/>
    <n v="19.254999999999999"/>
    <x v="677"/>
    <x v="677"/>
  </r>
  <r>
    <x v="1"/>
    <x v="0"/>
    <x v="0"/>
    <x v="0"/>
    <x v="3"/>
    <n v="23.48"/>
    <n v="2"/>
    <n v="2.3479999999999999"/>
    <x v="678"/>
    <x v="678"/>
  </r>
  <r>
    <x v="1"/>
    <x v="1"/>
    <x v="1"/>
    <x v="0"/>
    <x v="5"/>
    <n v="14.7"/>
    <n v="5"/>
    <n v="3.6749999999999998"/>
    <x v="679"/>
    <x v="679"/>
  </r>
  <r>
    <x v="1"/>
    <x v="0"/>
    <x v="0"/>
    <x v="1"/>
    <x v="4"/>
    <n v="76.400000000000006"/>
    <n v="9"/>
    <n v="34.380000000000003"/>
    <x v="680"/>
    <x v="680"/>
  </r>
  <r>
    <x v="1"/>
    <x v="2"/>
    <x v="2"/>
    <x v="0"/>
    <x v="1"/>
    <n v="48.09"/>
    <n v="3"/>
    <n v="7.2134999999999998"/>
    <x v="681"/>
    <x v="681"/>
  </r>
  <r>
    <x v="1"/>
    <x v="0"/>
    <x v="0"/>
    <x v="1"/>
    <x v="5"/>
    <n v="44.65"/>
    <n v="3"/>
    <n v="6.6974999999999998"/>
    <x v="682"/>
    <x v="682"/>
  </r>
  <r>
    <x v="1"/>
    <x v="0"/>
    <x v="0"/>
    <x v="0"/>
    <x v="1"/>
    <n v="71.95"/>
    <n v="1"/>
    <n v="3.5975000000000001"/>
    <x v="683"/>
    <x v="683"/>
  </r>
  <r>
    <x v="1"/>
    <x v="0"/>
    <x v="0"/>
    <x v="1"/>
    <x v="1"/>
    <n v="26.02"/>
    <n v="7"/>
    <n v="9.1069999999999993"/>
    <x v="684"/>
    <x v="684"/>
  </r>
  <r>
    <x v="1"/>
    <x v="0"/>
    <x v="0"/>
    <x v="1"/>
    <x v="1"/>
    <n v="51.69"/>
    <n v="7"/>
    <n v="180.91499999999999"/>
    <x v="685"/>
    <x v="685"/>
  </r>
  <r>
    <x v="1"/>
    <x v="2"/>
    <x v="2"/>
    <x v="0"/>
    <x v="2"/>
    <n v="27"/>
    <n v="9"/>
    <n v="12.15"/>
    <x v="686"/>
    <x v="686"/>
  </r>
  <r>
    <x v="1"/>
    <x v="2"/>
    <x v="2"/>
    <x v="1"/>
    <x v="1"/>
    <n v="27.5"/>
    <n v="3"/>
    <n v="4.125"/>
    <x v="687"/>
    <x v="687"/>
  </r>
  <r>
    <x v="1"/>
    <x v="2"/>
    <x v="2"/>
    <x v="1"/>
    <x v="5"/>
    <n v="74.97"/>
    <n v="1"/>
    <n v="3.7484999999999999"/>
    <x v="688"/>
    <x v="688"/>
  </r>
  <r>
    <x v="1"/>
    <x v="0"/>
    <x v="0"/>
    <x v="0"/>
    <x v="3"/>
    <n v="80.959999999999994"/>
    <n v="8"/>
    <n v="32.384"/>
    <x v="689"/>
    <x v="689"/>
  </r>
  <r>
    <x v="1"/>
    <x v="1"/>
    <x v="1"/>
    <x v="1"/>
    <x v="3"/>
    <n v="99.79"/>
    <n v="2"/>
    <n v="9.9789999999999992"/>
    <x v="690"/>
    <x v="690"/>
  </r>
  <r>
    <x v="1"/>
    <x v="0"/>
    <x v="0"/>
    <x v="1"/>
    <x v="2"/>
    <n v="73.22"/>
    <n v="6"/>
    <n v="21.966000000000001"/>
    <x v="691"/>
    <x v="691"/>
  </r>
  <r>
    <x v="1"/>
    <x v="0"/>
    <x v="0"/>
    <x v="0"/>
    <x v="2"/>
    <n v="65.94"/>
    <n v="4"/>
    <n v="13.188000000000001"/>
    <x v="642"/>
    <x v="642"/>
  </r>
  <r>
    <x v="1"/>
    <x v="0"/>
    <x v="0"/>
    <x v="0"/>
    <x v="1"/>
    <n v="21.5"/>
    <n v="9"/>
    <n v="9.6750000000000007"/>
    <x v="692"/>
    <x v="692"/>
  </r>
  <r>
    <x v="1"/>
    <x v="1"/>
    <x v="1"/>
    <x v="1"/>
    <x v="4"/>
    <n v="42.08"/>
    <n v="6"/>
    <n v="12.624000000000001"/>
    <x v="693"/>
    <x v="693"/>
  </r>
  <r>
    <x v="1"/>
    <x v="1"/>
    <x v="1"/>
    <x v="1"/>
    <x v="5"/>
    <n v="95.49"/>
    <n v="7"/>
    <n v="334.21499999999997"/>
    <x v="694"/>
    <x v="694"/>
  </r>
  <r>
    <x v="1"/>
    <x v="1"/>
    <x v="1"/>
    <x v="0"/>
    <x v="4"/>
    <n v="96.98"/>
    <n v="4"/>
    <n v="19.396000000000001"/>
    <x v="695"/>
    <x v="695"/>
  </r>
  <r>
    <x v="1"/>
    <x v="0"/>
    <x v="0"/>
    <x v="0"/>
    <x v="5"/>
    <n v="82.33"/>
    <n v="4"/>
    <n v="16.466000000000001"/>
    <x v="696"/>
    <x v="696"/>
  </r>
  <r>
    <x v="1"/>
    <x v="2"/>
    <x v="2"/>
    <x v="0"/>
    <x v="5"/>
    <n v="75.819999999999993"/>
    <n v="1"/>
    <n v="3.7909999999999999"/>
    <x v="697"/>
    <x v="697"/>
  </r>
  <r>
    <x v="1"/>
    <x v="1"/>
    <x v="1"/>
    <x v="1"/>
    <x v="3"/>
    <n v="46.77"/>
    <n v="6"/>
    <n v="14.031000000000001"/>
    <x v="698"/>
    <x v="698"/>
  </r>
  <r>
    <x v="1"/>
    <x v="2"/>
    <x v="2"/>
    <x v="1"/>
    <x v="3"/>
    <n v="18.22"/>
    <n v="7"/>
    <n v="6.3769999999999998"/>
    <x v="699"/>
    <x v="699"/>
  </r>
  <r>
    <x v="1"/>
    <x v="0"/>
    <x v="0"/>
    <x v="0"/>
    <x v="1"/>
    <n v="76.819999999999993"/>
    <n v="1"/>
    <n v="3.8410000000000002"/>
    <x v="700"/>
    <x v="700"/>
  </r>
  <r>
    <x v="1"/>
    <x v="2"/>
    <x v="2"/>
    <x v="1"/>
    <x v="2"/>
    <n v="13.59"/>
    <n v="9"/>
    <n v="6.1154999999999999"/>
    <x v="701"/>
    <x v="701"/>
  </r>
  <r>
    <x v="1"/>
    <x v="2"/>
    <x v="2"/>
    <x v="0"/>
    <x v="1"/>
    <n v="19.239999999999998"/>
    <n v="9"/>
    <n v="8.6579999999999995"/>
    <x v="702"/>
    <x v="702"/>
  </r>
  <r>
    <x v="1"/>
    <x v="1"/>
    <x v="1"/>
    <x v="1"/>
    <x v="2"/>
    <n v="46.22"/>
    <n v="4"/>
    <n v="9.2439999999999998"/>
    <x v="703"/>
    <x v="703"/>
  </r>
  <r>
    <x v="1"/>
    <x v="1"/>
    <x v="1"/>
    <x v="0"/>
    <x v="2"/>
    <n v="13.98"/>
    <n v="1"/>
    <n v="699"/>
    <x v="704"/>
    <x v="704"/>
  </r>
  <r>
    <x v="1"/>
    <x v="0"/>
    <x v="0"/>
    <x v="0"/>
    <x v="5"/>
    <n v="67.260000000000005"/>
    <n v="4"/>
    <n v="13.452"/>
    <x v="705"/>
    <x v="705"/>
  </r>
  <r>
    <x v="1"/>
    <x v="0"/>
    <x v="0"/>
    <x v="1"/>
    <x v="3"/>
    <n v="13.79"/>
    <n v="5"/>
    <n v="3.4474999999999998"/>
    <x v="706"/>
    <x v="706"/>
  </r>
  <r>
    <x v="1"/>
    <x v="2"/>
    <x v="2"/>
    <x v="1"/>
    <x v="5"/>
    <n v="21.87"/>
    <n v="2"/>
    <n v="2.1869999999999998"/>
    <x v="707"/>
    <x v="707"/>
  </r>
  <r>
    <x v="1"/>
    <x v="0"/>
    <x v="0"/>
    <x v="0"/>
    <x v="0"/>
    <n v="20.97"/>
    <n v="5"/>
    <n v="5.2424999999999997"/>
    <x v="708"/>
    <x v="708"/>
  </r>
  <r>
    <x v="1"/>
    <x v="0"/>
    <x v="0"/>
    <x v="1"/>
    <x v="5"/>
    <n v="25.84"/>
    <n v="3"/>
    <n v="3.8759999999999999"/>
    <x v="709"/>
    <x v="709"/>
  </r>
  <r>
    <x v="1"/>
    <x v="0"/>
    <x v="0"/>
    <x v="1"/>
    <x v="2"/>
    <n v="50.93"/>
    <n v="8"/>
    <n v="20.372"/>
    <x v="710"/>
    <x v="710"/>
  </r>
  <r>
    <x v="1"/>
    <x v="2"/>
    <x v="2"/>
    <x v="1"/>
    <x v="0"/>
    <n v="96.11"/>
    <n v="1"/>
    <n v="4.8055000000000003"/>
    <x v="711"/>
    <x v="711"/>
  </r>
  <r>
    <x v="1"/>
    <x v="2"/>
    <x v="2"/>
    <x v="0"/>
    <x v="4"/>
    <n v="25.42"/>
    <n v="8"/>
    <n v="10.167999999999999"/>
    <x v="712"/>
    <x v="712"/>
  </r>
  <r>
    <x v="1"/>
    <x v="1"/>
    <x v="1"/>
    <x v="1"/>
    <x v="4"/>
    <n v="16.28"/>
    <n v="1"/>
    <n v="814"/>
    <x v="713"/>
    <x v="713"/>
  </r>
  <r>
    <x v="1"/>
    <x v="2"/>
    <x v="2"/>
    <x v="0"/>
    <x v="4"/>
    <n v="40.61"/>
    <n v="9"/>
    <n v="182.745"/>
    <x v="714"/>
    <x v="714"/>
  </r>
  <r>
    <x v="1"/>
    <x v="0"/>
    <x v="0"/>
    <x v="0"/>
    <x v="0"/>
    <n v="53.17"/>
    <n v="7"/>
    <n v="186.095"/>
    <x v="715"/>
    <x v="715"/>
  </r>
  <r>
    <x v="1"/>
    <x v="2"/>
    <x v="2"/>
    <x v="1"/>
    <x v="5"/>
    <n v="67.27"/>
    <n v="5"/>
    <n v="168.17500000000001"/>
    <x v="716"/>
    <x v="716"/>
  </r>
  <r>
    <x v="1"/>
    <x v="2"/>
    <x v="2"/>
    <x v="1"/>
    <x v="4"/>
    <n v="69.08"/>
    <n v="2"/>
    <n v="6.9080000000000004"/>
    <x v="717"/>
    <x v="717"/>
  </r>
  <r>
    <x v="1"/>
    <x v="1"/>
    <x v="1"/>
    <x v="1"/>
    <x v="3"/>
    <n v="43.27"/>
    <n v="2"/>
    <n v="4.327"/>
    <x v="718"/>
    <x v="718"/>
  </r>
  <r>
    <x v="1"/>
    <x v="2"/>
    <x v="2"/>
    <x v="1"/>
    <x v="4"/>
    <n v="95.54"/>
    <n v="7"/>
    <n v="33.439"/>
    <x v="719"/>
    <x v="719"/>
  </r>
  <r>
    <x v="1"/>
    <x v="1"/>
    <x v="1"/>
    <x v="1"/>
    <x v="5"/>
    <n v="99.24"/>
    <n v="9"/>
    <n v="44.658000000000001"/>
    <x v="720"/>
    <x v="720"/>
  </r>
  <r>
    <x v="1"/>
    <x v="1"/>
    <x v="1"/>
    <x v="0"/>
    <x v="5"/>
    <n v="82.93"/>
    <n v="4"/>
    <n v="16.585999999999999"/>
    <x v="721"/>
    <x v="721"/>
  </r>
  <r>
    <x v="1"/>
    <x v="0"/>
    <x v="0"/>
    <x v="1"/>
    <x v="2"/>
    <n v="33.99"/>
    <n v="6"/>
    <n v="10.196999999999999"/>
    <x v="722"/>
    <x v="722"/>
  </r>
  <r>
    <x v="1"/>
    <x v="1"/>
    <x v="1"/>
    <x v="0"/>
    <x v="3"/>
    <n v="17.04"/>
    <n v="4"/>
    <n v="3.4079999999999999"/>
    <x v="723"/>
    <x v="723"/>
  </r>
  <r>
    <x v="1"/>
    <x v="1"/>
    <x v="1"/>
    <x v="0"/>
    <x v="3"/>
    <n v="17.440000000000001"/>
    <n v="5"/>
    <n v="4.3600000000000003"/>
    <x v="724"/>
    <x v="724"/>
  </r>
  <r>
    <x v="1"/>
    <x v="1"/>
    <x v="1"/>
    <x v="1"/>
    <x v="4"/>
    <n v="12.78"/>
    <n v="1"/>
    <n v="639"/>
    <x v="725"/>
    <x v="725"/>
  </r>
  <r>
    <x v="1"/>
    <x v="1"/>
    <x v="1"/>
    <x v="0"/>
    <x v="3"/>
    <n v="27.66"/>
    <n v="10"/>
    <n v="13.83"/>
    <x v="726"/>
    <x v="726"/>
  </r>
  <r>
    <x v="1"/>
    <x v="1"/>
    <x v="1"/>
    <x v="1"/>
    <x v="4"/>
    <n v="45.74"/>
    <n v="3"/>
    <n v="6.8609999999999998"/>
    <x v="727"/>
    <x v="727"/>
  </r>
  <r>
    <x v="1"/>
    <x v="2"/>
    <x v="2"/>
    <x v="1"/>
    <x v="1"/>
    <n v="22.01"/>
    <n v="6"/>
    <n v="6.6029999999999998"/>
    <x v="728"/>
    <x v="728"/>
  </r>
  <r>
    <x v="1"/>
    <x v="0"/>
    <x v="0"/>
    <x v="1"/>
    <x v="0"/>
    <n v="25"/>
    <n v="1"/>
    <n v="1.25"/>
    <x v="729"/>
    <x v="729"/>
  </r>
  <r>
    <x v="1"/>
    <x v="0"/>
    <x v="0"/>
    <x v="0"/>
    <x v="1"/>
    <n v="20.77"/>
    <n v="4"/>
    <n v="4.1539999999999999"/>
    <x v="730"/>
    <x v="730"/>
  </r>
  <r>
    <x v="1"/>
    <x v="2"/>
    <x v="2"/>
    <x v="1"/>
    <x v="1"/>
    <n v="79.39"/>
    <n v="10"/>
    <n v="39.695"/>
    <x v="731"/>
    <x v="731"/>
  </r>
  <r>
    <x v="1"/>
    <x v="1"/>
    <x v="1"/>
    <x v="1"/>
    <x v="3"/>
    <n v="35.89"/>
    <n v="1"/>
    <n v="1.7945"/>
    <x v="732"/>
    <x v="732"/>
  </r>
  <r>
    <x v="1"/>
    <x v="1"/>
    <x v="1"/>
    <x v="1"/>
    <x v="3"/>
    <n v="40.520000000000003"/>
    <n v="5"/>
    <n v="10.130000000000001"/>
    <x v="733"/>
    <x v="733"/>
  </r>
  <r>
    <x v="1"/>
    <x v="0"/>
    <x v="0"/>
    <x v="0"/>
    <x v="3"/>
    <n v="51.34"/>
    <n v="5"/>
    <n v="12.835000000000001"/>
    <x v="734"/>
    <x v="734"/>
  </r>
  <r>
    <x v="1"/>
    <x v="2"/>
    <x v="2"/>
    <x v="1"/>
    <x v="5"/>
    <n v="37.020000000000003"/>
    <n v="6"/>
    <n v="11.106"/>
    <x v="735"/>
    <x v="735"/>
  </r>
  <r>
    <x v="1"/>
    <x v="1"/>
    <x v="1"/>
    <x v="1"/>
    <x v="3"/>
    <n v="21.58"/>
    <n v="1"/>
    <n v="1.079"/>
    <x v="736"/>
    <x v="736"/>
  </r>
  <r>
    <x v="1"/>
    <x v="0"/>
    <x v="0"/>
    <x v="0"/>
    <x v="4"/>
    <n v="43.13"/>
    <n v="10"/>
    <n v="21.565000000000001"/>
    <x v="737"/>
    <x v="737"/>
  </r>
  <r>
    <x v="1"/>
    <x v="2"/>
    <x v="2"/>
    <x v="0"/>
    <x v="0"/>
    <n v="72.569999999999993"/>
    <n v="8"/>
    <n v="29.027999999999999"/>
    <x v="738"/>
    <x v="738"/>
  </r>
  <r>
    <x v="1"/>
    <x v="0"/>
    <x v="0"/>
    <x v="1"/>
    <x v="0"/>
    <n v="65.180000000000007"/>
    <n v="3"/>
    <n v="9.7769999999999992"/>
    <x v="739"/>
    <x v="739"/>
  </r>
  <r>
    <x v="1"/>
    <x v="1"/>
    <x v="1"/>
    <x v="1"/>
    <x v="1"/>
    <n v="84.07"/>
    <n v="4"/>
    <n v="16.814"/>
    <x v="740"/>
    <x v="740"/>
  </r>
  <r>
    <x v="1"/>
    <x v="2"/>
    <x v="2"/>
    <x v="1"/>
    <x v="5"/>
    <n v="34.369999999999997"/>
    <n v="10"/>
    <n v="17.184999999999999"/>
    <x v="741"/>
    <x v="741"/>
  </r>
  <r>
    <x v="1"/>
    <x v="0"/>
    <x v="0"/>
    <x v="1"/>
    <x v="1"/>
    <n v="38.6"/>
    <n v="1"/>
    <n v="1.93"/>
    <x v="742"/>
    <x v="742"/>
  </r>
  <r>
    <x v="1"/>
    <x v="1"/>
    <x v="1"/>
    <x v="1"/>
    <x v="3"/>
    <n v="65.97"/>
    <n v="8"/>
    <n v="26.388000000000002"/>
    <x v="743"/>
    <x v="743"/>
  </r>
  <r>
    <x v="1"/>
    <x v="0"/>
    <x v="0"/>
    <x v="1"/>
    <x v="5"/>
    <n v="37.14"/>
    <n v="5"/>
    <n v="9.2850000000000001"/>
    <x v="744"/>
    <x v="744"/>
  </r>
  <r>
    <x v="1"/>
    <x v="2"/>
    <x v="2"/>
    <x v="0"/>
    <x v="2"/>
    <n v="60.38"/>
    <n v="10"/>
    <n v="30.19"/>
    <x v="745"/>
    <x v="745"/>
  </r>
  <r>
    <x v="1"/>
    <x v="0"/>
    <x v="0"/>
    <x v="1"/>
    <x v="4"/>
    <n v="37.15"/>
    <n v="4"/>
    <n v="7.43"/>
    <x v="746"/>
    <x v="746"/>
  </r>
  <r>
    <x v="1"/>
    <x v="1"/>
    <x v="1"/>
    <x v="1"/>
    <x v="2"/>
    <n v="22.96"/>
    <n v="1"/>
    <n v="1.1479999999999999"/>
    <x v="747"/>
    <x v="747"/>
  </r>
  <r>
    <x v="1"/>
    <x v="2"/>
    <x v="2"/>
    <x v="1"/>
    <x v="4"/>
    <n v="99.89"/>
    <n v="2"/>
    <n v="9.9890000000000008"/>
    <x v="748"/>
    <x v="748"/>
  </r>
  <r>
    <x v="1"/>
    <x v="2"/>
    <x v="2"/>
    <x v="1"/>
    <x v="5"/>
    <n v="75.92"/>
    <n v="8"/>
    <n v="30.367999999999999"/>
    <x v="749"/>
    <x v="749"/>
  </r>
  <r>
    <x v="1"/>
    <x v="2"/>
    <x v="2"/>
    <x v="0"/>
    <x v="5"/>
    <n v="73.97"/>
    <n v="1"/>
    <n v="3.6985000000000001"/>
    <x v="750"/>
    <x v="750"/>
  </r>
  <r>
    <x v="1"/>
    <x v="1"/>
    <x v="1"/>
    <x v="1"/>
    <x v="2"/>
    <n v="69.400000000000006"/>
    <n v="2"/>
    <n v="6.94"/>
    <x v="751"/>
    <x v="751"/>
  </r>
  <r>
    <x v="1"/>
    <x v="2"/>
    <x v="2"/>
    <x v="1"/>
    <x v="5"/>
    <n v="88.45"/>
    <n v="1"/>
    <n v="4.4225000000000003"/>
    <x v="752"/>
    <x v="752"/>
  </r>
  <r>
    <x v="1"/>
    <x v="0"/>
    <x v="0"/>
    <x v="0"/>
    <x v="1"/>
    <n v="24.18"/>
    <n v="8"/>
    <n v="9.6720000000000006"/>
    <x v="753"/>
    <x v="753"/>
  </r>
  <r>
    <x v="1"/>
    <x v="2"/>
    <x v="2"/>
    <x v="0"/>
    <x v="0"/>
    <n v="61.29"/>
    <n v="5"/>
    <n v="153.22499999999999"/>
    <x v="754"/>
    <x v="754"/>
  </r>
  <r>
    <x v="1"/>
    <x v="0"/>
    <x v="0"/>
    <x v="1"/>
    <x v="1"/>
    <n v="99.55"/>
    <n v="7"/>
    <n v="348.42500000000001"/>
    <x v="755"/>
    <x v="755"/>
  </r>
  <r>
    <x v="1"/>
    <x v="1"/>
    <x v="1"/>
    <x v="0"/>
    <x v="5"/>
    <n v="58.39"/>
    <n v="7"/>
    <n v="204.36500000000001"/>
    <x v="756"/>
    <x v="756"/>
  </r>
  <r>
    <x v="1"/>
    <x v="2"/>
    <x v="2"/>
    <x v="0"/>
    <x v="0"/>
    <n v="54.86"/>
    <n v="5"/>
    <n v="13.715"/>
    <x v="757"/>
    <x v="757"/>
  </r>
  <r>
    <x v="1"/>
    <x v="1"/>
    <x v="1"/>
    <x v="0"/>
    <x v="2"/>
    <n v="39.39"/>
    <n v="5"/>
    <n v="9.8475000000000001"/>
    <x v="758"/>
    <x v="758"/>
  </r>
  <r>
    <x v="1"/>
    <x v="0"/>
    <x v="0"/>
    <x v="1"/>
    <x v="2"/>
    <n v="34.729999999999997"/>
    <n v="2"/>
    <n v="3.4729999999999999"/>
    <x v="759"/>
    <x v="759"/>
  </r>
  <r>
    <x v="1"/>
    <x v="1"/>
    <x v="1"/>
    <x v="0"/>
    <x v="5"/>
    <n v="71.92"/>
    <n v="5"/>
    <n v="17.98"/>
    <x v="760"/>
    <x v="760"/>
  </r>
  <r>
    <x v="1"/>
    <x v="1"/>
    <x v="1"/>
    <x v="1"/>
    <x v="0"/>
    <n v="62.87"/>
    <n v="2"/>
    <n v="6.2869999999999999"/>
    <x v="761"/>
    <x v="761"/>
  </r>
  <r>
    <x v="1"/>
    <x v="0"/>
    <x v="0"/>
    <x v="1"/>
    <x v="3"/>
    <n v="81.709999999999994"/>
    <n v="6"/>
    <n v="24.513000000000002"/>
    <x v="762"/>
    <x v="762"/>
  </r>
  <r>
    <x v="1"/>
    <x v="2"/>
    <x v="2"/>
    <x v="1"/>
    <x v="4"/>
    <n v="39.21"/>
    <n v="4"/>
    <n v="7.8419999999999996"/>
    <x v="763"/>
    <x v="763"/>
  </r>
  <r>
    <x v="1"/>
    <x v="2"/>
    <x v="2"/>
    <x v="0"/>
    <x v="4"/>
    <n v="59.86"/>
    <n v="2"/>
    <n v="5.9859999999999998"/>
    <x v="764"/>
    <x v="764"/>
  </r>
  <r>
    <x v="1"/>
    <x v="0"/>
    <x v="0"/>
    <x v="1"/>
    <x v="5"/>
    <n v="98.09"/>
    <n v="9"/>
    <n v="441.40499999999997"/>
    <x v="765"/>
    <x v="765"/>
  </r>
  <r>
    <x v="1"/>
    <x v="0"/>
    <x v="0"/>
    <x v="1"/>
    <x v="0"/>
    <n v="25.43"/>
    <n v="6"/>
    <n v="7.6289999999999996"/>
    <x v="766"/>
    <x v="766"/>
  </r>
  <r>
    <x v="1"/>
    <x v="0"/>
    <x v="0"/>
    <x v="0"/>
    <x v="4"/>
    <n v="86.68"/>
    <n v="8"/>
    <n v="34.671999999999997"/>
    <x v="767"/>
    <x v="767"/>
  </r>
  <r>
    <x v="1"/>
    <x v="2"/>
    <x v="2"/>
    <x v="1"/>
    <x v="1"/>
    <n v="22.95"/>
    <n v="10"/>
    <n v="11.475"/>
    <x v="768"/>
    <x v="768"/>
  </r>
  <r>
    <x v="1"/>
    <x v="1"/>
    <x v="1"/>
    <x v="1"/>
    <x v="2"/>
    <n v="16.670000000000002"/>
    <n v="7"/>
    <n v="5.8345000000000002"/>
    <x v="769"/>
    <x v="769"/>
  </r>
  <r>
    <x v="1"/>
    <x v="0"/>
    <x v="0"/>
    <x v="1"/>
    <x v="2"/>
    <n v="97.94"/>
    <n v="1"/>
    <n v="4.8970000000000002"/>
    <x v="770"/>
    <x v="770"/>
  </r>
  <r>
    <x v="1"/>
    <x v="0"/>
    <x v="0"/>
    <x v="1"/>
    <x v="2"/>
    <n v="30.68"/>
    <n v="3"/>
    <n v="4.6020000000000003"/>
    <x v="771"/>
    <x v="771"/>
  </r>
  <r>
    <x v="1"/>
    <x v="1"/>
    <x v="1"/>
    <x v="0"/>
    <x v="0"/>
    <n v="75.88"/>
    <n v="1"/>
    <n v="3.794"/>
    <x v="772"/>
    <x v="772"/>
  </r>
  <r>
    <x v="1"/>
    <x v="1"/>
    <x v="1"/>
    <x v="0"/>
    <x v="1"/>
    <n v="18.77"/>
    <n v="6"/>
    <n v="5.6310000000000002"/>
    <x v="773"/>
    <x v="773"/>
  </r>
  <r>
    <x v="1"/>
    <x v="2"/>
    <x v="2"/>
    <x v="0"/>
    <x v="2"/>
    <n v="38.81"/>
    <n v="4"/>
    <n v="7.7619999999999996"/>
    <x v="774"/>
    <x v="774"/>
  </r>
  <r>
    <x v="1"/>
    <x v="0"/>
    <x v="0"/>
    <x v="1"/>
    <x v="5"/>
    <n v="60.95"/>
    <n v="9"/>
    <n v="274.27499999999998"/>
    <x v="775"/>
    <x v="775"/>
  </r>
  <r>
    <x v="1"/>
    <x v="2"/>
    <x v="2"/>
    <x v="1"/>
    <x v="4"/>
    <n v="57.27"/>
    <n v="3"/>
    <n v="8.5905000000000005"/>
    <x v="776"/>
    <x v="776"/>
  </r>
  <r>
    <x v="1"/>
    <x v="1"/>
    <x v="1"/>
    <x v="1"/>
    <x v="1"/>
    <n v="22.21"/>
    <n v="6"/>
    <n v="6.6630000000000003"/>
    <x v="777"/>
    <x v="777"/>
  </r>
  <r>
    <x v="1"/>
    <x v="0"/>
    <x v="0"/>
    <x v="0"/>
    <x v="1"/>
    <n v="19.32"/>
    <n v="7"/>
    <n v="6.7619999999999996"/>
    <x v="778"/>
    <x v="778"/>
  </r>
  <r>
    <x v="1"/>
    <x v="2"/>
    <x v="2"/>
    <x v="1"/>
    <x v="2"/>
    <n v="37.479999999999997"/>
    <n v="3"/>
    <n v="5.6219999999999999"/>
    <x v="779"/>
    <x v="779"/>
  </r>
  <r>
    <x v="1"/>
    <x v="0"/>
    <x v="0"/>
    <x v="0"/>
    <x v="3"/>
    <n v="41.66"/>
    <n v="6"/>
    <n v="12.497999999999999"/>
    <x v="780"/>
    <x v="780"/>
  </r>
  <r>
    <x v="1"/>
    <x v="2"/>
    <x v="2"/>
    <x v="1"/>
    <x v="1"/>
    <n v="21.58"/>
    <n v="9"/>
    <n v="9.7110000000000003"/>
    <x v="781"/>
    <x v="781"/>
  </r>
  <r>
    <x v="1"/>
    <x v="1"/>
    <x v="1"/>
    <x v="1"/>
    <x v="3"/>
    <n v="89.2"/>
    <n v="10"/>
    <n v="44.6"/>
    <x v="782"/>
    <x v="782"/>
  </r>
  <r>
    <x v="1"/>
    <x v="0"/>
    <x v="0"/>
    <x v="0"/>
    <x v="1"/>
    <n v="74.510000000000005"/>
    <n v="6"/>
    <n v="22.353000000000002"/>
    <x v="783"/>
    <x v="783"/>
  </r>
  <r>
    <x v="1"/>
    <x v="2"/>
    <x v="2"/>
    <x v="1"/>
    <x v="4"/>
    <n v="99.25"/>
    <n v="2"/>
    <n v="9.9250000000000007"/>
    <x v="784"/>
    <x v="784"/>
  </r>
  <r>
    <x v="1"/>
    <x v="2"/>
    <x v="2"/>
    <x v="0"/>
    <x v="5"/>
    <n v="26.67"/>
    <n v="10"/>
    <n v="13.335000000000001"/>
    <x v="785"/>
    <x v="785"/>
  </r>
  <r>
    <x v="1"/>
    <x v="0"/>
    <x v="0"/>
    <x v="0"/>
    <x v="3"/>
    <n v="10.130000000000001"/>
    <n v="7"/>
    <n v="3.5455000000000001"/>
    <x v="786"/>
    <x v="786"/>
  </r>
  <r>
    <x v="1"/>
    <x v="2"/>
    <x v="2"/>
    <x v="1"/>
    <x v="3"/>
    <n v="72.39"/>
    <n v="2"/>
    <n v="7.2389999999999999"/>
    <x v="787"/>
    <x v="787"/>
  </r>
  <r>
    <x v="1"/>
    <x v="0"/>
    <x v="0"/>
    <x v="1"/>
    <x v="5"/>
    <n v="85.91"/>
    <n v="5"/>
    <n v="214.77500000000001"/>
    <x v="788"/>
    <x v="788"/>
  </r>
  <r>
    <x v="1"/>
    <x v="2"/>
    <x v="2"/>
    <x v="0"/>
    <x v="4"/>
    <n v="81.31"/>
    <n v="7"/>
    <n v="284.58499999999998"/>
    <x v="789"/>
    <x v="789"/>
  </r>
  <r>
    <x v="1"/>
    <x v="2"/>
    <x v="2"/>
    <x v="1"/>
    <x v="3"/>
    <n v="60.3"/>
    <n v="4"/>
    <n v="12.06"/>
    <x v="790"/>
    <x v="790"/>
  </r>
  <r>
    <x v="1"/>
    <x v="1"/>
    <x v="1"/>
    <x v="1"/>
    <x v="3"/>
    <n v="31.77"/>
    <n v="4"/>
    <n v="6.3540000000000001"/>
    <x v="791"/>
    <x v="791"/>
  </r>
  <r>
    <x v="1"/>
    <x v="2"/>
    <x v="2"/>
    <x v="1"/>
    <x v="0"/>
    <n v="69.510000000000005"/>
    <n v="2"/>
    <n v="6.9509999999999996"/>
    <x v="792"/>
    <x v="792"/>
  </r>
  <r>
    <x v="1"/>
    <x v="1"/>
    <x v="1"/>
    <x v="1"/>
    <x v="3"/>
    <n v="27.22"/>
    <n v="3"/>
    <n v="4.0830000000000002"/>
    <x v="793"/>
    <x v="793"/>
  </r>
  <r>
    <x v="1"/>
    <x v="2"/>
    <x v="2"/>
    <x v="1"/>
    <x v="5"/>
    <n v="63.06"/>
    <n v="3"/>
    <n v="9.4589999999999996"/>
    <x v="794"/>
    <x v="794"/>
  </r>
  <r>
    <x v="1"/>
    <x v="0"/>
    <x v="0"/>
    <x v="1"/>
    <x v="0"/>
    <n v="51.71"/>
    <n v="4"/>
    <n v="10.342000000000001"/>
    <x v="795"/>
    <x v="795"/>
  </r>
  <r>
    <x v="1"/>
    <x v="1"/>
    <x v="1"/>
    <x v="1"/>
    <x v="4"/>
    <n v="59.61"/>
    <n v="10"/>
    <n v="29.805"/>
    <x v="796"/>
    <x v="796"/>
  </r>
  <r>
    <x v="1"/>
    <x v="0"/>
    <x v="0"/>
    <x v="1"/>
    <x v="0"/>
    <n v="14.62"/>
    <n v="5"/>
    <n v="3.6549999999999998"/>
    <x v="797"/>
    <x v="797"/>
  </r>
  <r>
    <x v="1"/>
    <x v="1"/>
    <x v="1"/>
    <x v="0"/>
    <x v="0"/>
    <n v="46.53"/>
    <n v="6"/>
    <n v="13.959"/>
    <x v="798"/>
    <x v="798"/>
  </r>
  <r>
    <x v="1"/>
    <x v="2"/>
    <x v="2"/>
    <x v="0"/>
    <x v="5"/>
    <n v="96.8"/>
    <n v="3"/>
    <n v="14.52"/>
    <x v="799"/>
    <x v="799"/>
  </r>
  <r>
    <x v="1"/>
    <x v="2"/>
    <x v="2"/>
    <x v="1"/>
    <x v="0"/>
    <n v="14.82"/>
    <n v="3"/>
    <n v="2.2229999999999999"/>
    <x v="800"/>
    <x v="800"/>
  </r>
  <r>
    <x v="1"/>
    <x v="0"/>
    <x v="0"/>
    <x v="1"/>
    <x v="3"/>
    <n v="52.2"/>
    <n v="3"/>
    <n v="7.83"/>
    <x v="801"/>
    <x v="801"/>
  </r>
  <r>
    <x v="1"/>
    <x v="1"/>
    <x v="1"/>
    <x v="1"/>
    <x v="1"/>
    <n v="83.08"/>
    <n v="1"/>
    <n v="4.1539999999999999"/>
    <x v="730"/>
    <x v="730"/>
  </r>
  <r>
    <x v="1"/>
    <x v="1"/>
    <x v="1"/>
    <x v="1"/>
    <x v="3"/>
    <n v="77.56"/>
    <n v="10"/>
    <n v="38.78"/>
    <x v="802"/>
    <x v="802"/>
  </r>
  <r>
    <x v="1"/>
    <x v="2"/>
    <x v="2"/>
    <x v="1"/>
    <x v="2"/>
    <n v="31.75"/>
    <n v="4"/>
    <n v="6.35"/>
    <x v="803"/>
    <x v="803"/>
  </r>
  <r>
    <x v="1"/>
    <x v="0"/>
    <x v="0"/>
    <x v="1"/>
    <x v="4"/>
    <n v="30.61"/>
    <n v="1"/>
    <n v="1.5305"/>
    <x v="804"/>
    <x v="804"/>
  </r>
  <r>
    <x v="1"/>
    <x v="2"/>
    <x v="2"/>
    <x v="0"/>
    <x v="3"/>
    <n v="57.89"/>
    <n v="2"/>
    <n v="5.7889999999999997"/>
    <x v="805"/>
    <x v="805"/>
  </r>
  <r>
    <x v="1"/>
    <x v="2"/>
    <x v="2"/>
    <x v="0"/>
    <x v="4"/>
    <n v="93.22"/>
    <n v="3"/>
    <n v="13.983000000000001"/>
    <x v="806"/>
    <x v="806"/>
  </r>
  <r>
    <x v="1"/>
    <x v="1"/>
    <x v="1"/>
    <x v="0"/>
    <x v="5"/>
    <n v="80.930000000000007"/>
    <n v="1"/>
    <n v="4.0465"/>
    <x v="807"/>
    <x v="807"/>
  </r>
  <r>
    <x v="1"/>
    <x v="0"/>
    <x v="0"/>
    <x v="0"/>
    <x v="3"/>
    <n v="67.45"/>
    <n v="10"/>
    <n v="33.725000000000001"/>
    <x v="808"/>
    <x v="808"/>
  </r>
  <r>
    <x v="1"/>
    <x v="2"/>
    <x v="2"/>
    <x v="0"/>
    <x v="5"/>
    <n v="72.599999999999994"/>
    <n v="6"/>
    <n v="21.78"/>
    <x v="809"/>
    <x v="809"/>
  </r>
  <r>
    <x v="1"/>
    <x v="1"/>
    <x v="1"/>
    <x v="0"/>
    <x v="1"/>
    <n v="87.91"/>
    <n v="5"/>
    <n v="219.77500000000001"/>
    <x v="810"/>
    <x v="810"/>
  </r>
  <r>
    <x v="1"/>
    <x v="0"/>
    <x v="0"/>
    <x v="0"/>
    <x v="3"/>
    <n v="98.53"/>
    <n v="6"/>
    <n v="29.559000000000001"/>
    <x v="811"/>
    <x v="811"/>
  </r>
  <r>
    <x v="1"/>
    <x v="2"/>
    <x v="2"/>
    <x v="0"/>
    <x v="4"/>
    <n v="91.35"/>
    <n v="1"/>
    <n v="4.5674999999999999"/>
    <x v="812"/>
    <x v="812"/>
  </r>
  <r>
    <x v="1"/>
    <x v="0"/>
    <x v="0"/>
    <x v="1"/>
    <x v="5"/>
    <n v="60.87"/>
    <n v="2"/>
    <n v="6.0869999999999997"/>
    <x v="813"/>
    <x v="813"/>
  </r>
  <r>
    <x v="1"/>
    <x v="2"/>
    <x v="2"/>
    <x v="0"/>
    <x v="0"/>
    <n v="82.58"/>
    <n v="10"/>
    <n v="41.29"/>
    <x v="814"/>
    <x v="814"/>
  </r>
  <r>
    <x v="1"/>
    <x v="0"/>
    <x v="0"/>
    <x v="0"/>
    <x v="2"/>
    <n v="53.3"/>
    <n v="3"/>
    <n v="7.9950000000000001"/>
    <x v="815"/>
    <x v="815"/>
  </r>
  <r>
    <x v="1"/>
    <x v="0"/>
    <x v="0"/>
    <x v="1"/>
    <x v="5"/>
    <n v="64.19"/>
    <n v="10"/>
    <n v="32.094999999999999"/>
    <x v="816"/>
    <x v="816"/>
  </r>
  <r>
    <x v="1"/>
    <x v="0"/>
    <x v="0"/>
    <x v="1"/>
    <x v="1"/>
    <n v="78.31"/>
    <n v="3"/>
    <n v="11.746499999999999"/>
    <x v="817"/>
    <x v="817"/>
  </r>
  <r>
    <x v="1"/>
    <x v="0"/>
    <x v="0"/>
    <x v="0"/>
    <x v="3"/>
    <n v="83.77"/>
    <n v="2"/>
    <n v="8.3770000000000007"/>
    <x v="818"/>
    <x v="818"/>
  </r>
  <r>
    <x v="1"/>
    <x v="2"/>
    <x v="2"/>
    <x v="1"/>
    <x v="2"/>
    <n v="99.7"/>
    <n v="3"/>
    <n v="14.955"/>
    <x v="819"/>
    <x v="819"/>
  </r>
  <r>
    <x v="1"/>
    <x v="2"/>
    <x v="2"/>
    <x v="0"/>
    <x v="3"/>
    <n v="79.91"/>
    <n v="3"/>
    <n v="11.986499999999999"/>
    <x v="820"/>
    <x v="820"/>
  </r>
  <r>
    <x v="1"/>
    <x v="2"/>
    <x v="2"/>
    <x v="0"/>
    <x v="0"/>
    <n v="66.47"/>
    <n v="10"/>
    <n v="33.234999999999999"/>
    <x v="821"/>
    <x v="821"/>
  </r>
  <r>
    <x v="1"/>
    <x v="0"/>
    <x v="0"/>
    <x v="1"/>
    <x v="0"/>
    <n v="28.95"/>
    <n v="7"/>
    <n v="10.1325"/>
    <x v="822"/>
    <x v="822"/>
  </r>
  <r>
    <x v="1"/>
    <x v="2"/>
    <x v="2"/>
    <x v="1"/>
    <x v="4"/>
    <n v="52.42"/>
    <n v="3"/>
    <n v="7.8630000000000004"/>
    <x v="823"/>
    <x v="823"/>
  </r>
  <r>
    <x v="1"/>
    <x v="2"/>
    <x v="2"/>
    <x v="0"/>
    <x v="1"/>
    <n v="55.67"/>
    <n v="2"/>
    <n v="5.5670000000000002"/>
    <x v="824"/>
    <x v="824"/>
  </r>
  <r>
    <x v="1"/>
    <x v="1"/>
    <x v="1"/>
    <x v="0"/>
    <x v="1"/>
    <n v="12.05"/>
    <n v="5"/>
    <n v="3.0125000000000002"/>
    <x v="825"/>
    <x v="825"/>
  </r>
  <r>
    <x v="1"/>
    <x v="0"/>
    <x v="0"/>
    <x v="0"/>
    <x v="2"/>
    <n v="19.36"/>
    <n v="9"/>
    <n v="8.7119999999999997"/>
    <x v="826"/>
    <x v="826"/>
  </r>
  <r>
    <x v="1"/>
    <x v="1"/>
    <x v="1"/>
    <x v="1"/>
    <x v="0"/>
    <n v="70.209999999999994"/>
    <n v="6"/>
    <n v="21.062999999999999"/>
    <x v="827"/>
    <x v="827"/>
  </r>
  <r>
    <x v="1"/>
    <x v="2"/>
    <x v="2"/>
    <x v="0"/>
    <x v="4"/>
    <n v="33.630000000000003"/>
    <n v="1"/>
    <n v="1.6815"/>
    <x v="828"/>
    <x v="828"/>
  </r>
  <r>
    <x v="1"/>
    <x v="1"/>
    <x v="1"/>
    <x v="1"/>
    <x v="1"/>
    <n v="24.74"/>
    <n v="10"/>
    <n v="12.37"/>
    <x v="829"/>
    <x v="829"/>
  </r>
  <r>
    <x v="1"/>
    <x v="2"/>
    <x v="2"/>
    <x v="1"/>
    <x v="1"/>
    <n v="75.66"/>
    <n v="5"/>
    <n v="18.914999999999999"/>
    <x v="830"/>
    <x v="830"/>
  </r>
  <r>
    <x v="1"/>
    <x v="0"/>
    <x v="0"/>
    <x v="0"/>
    <x v="2"/>
    <n v="72.78"/>
    <n v="10"/>
    <n v="36.39"/>
    <x v="831"/>
    <x v="831"/>
  </r>
  <r>
    <x v="1"/>
    <x v="2"/>
    <x v="2"/>
    <x v="0"/>
    <x v="5"/>
    <n v="37.32"/>
    <n v="9"/>
    <n v="16.794"/>
    <x v="832"/>
    <x v="832"/>
  </r>
  <r>
    <x v="1"/>
    <x v="2"/>
    <x v="2"/>
    <x v="0"/>
    <x v="4"/>
    <n v="60.18"/>
    <n v="4"/>
    <n v="12.036"/>
    <x v="833"/>
    <x v="833"/>
  </r>
  <r>
    <x v="1"/>
    <x v="0"/>
    <x v="0"/>
    <x v="0"/>
    <x v="4"/>
    <n v="55.45"/>
    <n v="1"/>
    <n v="2.7725"/>
    <x v="834"/>
    <x v="834"/>
  </r>
  <r>
    <x v="1"/>
    <x v="1"/>
    <x v="1"/>
    <x v="0"/>
    <x v="5"/>
    <n v="17.14"/>
    <n v="7"/>
    <n v="5.9989999999999997"/>
    <x v="835"/>
    <x v="835"/>
  </r>
  <r>
    <x v="1"/>
    <x v="2"/>
    <x v="2"/>
    <x v="0"/>
    <x v="3"/>
    <n v="57.74"/>
    <n v="3"/>
    <n v="8.6609999999999996"/>
    <x v="836"/>
    <x v="836"/>
  </r>
  <r>
    <x v="1"/>
    <x v="0"/>
    <x v="0"/>
    <x v="0"/>
    <x v="4"/>
    <n v="56.04"/>
    <n v="10"/>
    <n v="28.02"/>
    <x v="837"/>
    <x v="837"/>
  </r>
  <r>
    <x v="1"/>
    <x v="2"/>
    <x v="2"/>
    <x v="0"/>
    <x v="3"/>
    <n v="93.4"/>
    <n v="2"/>
    <n v="9.34"/>
    <x v="838"/>
    <x v="838"/>
  </r>
  <r>
    <x v="1"/>
    <x v="1"/>
    <x v="1"/>
    <x v="1"/>
    <x v="0"/>
    <n v="33.64"/>
    <n v="8"/>
    <n v="13.456"/>
    <x v="839"/>
    <x v="839"/>
  </r>
  <r>
    <x v="1"/>
    <x v="2"/>
    <x v="2"/>
    <x v="0"/>
    <x v="4"/>
    <n v="83.77"/>
    <n v="2"/>
    <n v="8.3770000000000007"/>
    <x v="818"/>
    <x v="818"/>
  </r>
  <r>
    <x v="1"/>
    <x v="1"/>
    <x v="1"/>
    <x v="1"/>
    <x v="0"/>
    <n v="58.95"/>
    <n v="10"/>
    <n v="29.475000000000001"/>
    <x v="840"/>
    <x v="840"/>
  </r>
  <r>
    <x v="1"/>
    <x v="0"/>
    <x v="0"/>
    <x v="0"/>
    <x v="3"/>
    <n v="48.5"/>
    <n v="6"/>
    <n v="14.55"/>
    <x v="841"/>
    <x v="841"/>
  </r>
  <r>
    <x v="1"/>
    <x v="0"/>
    <x v="0"/>
    <x v="0"/>
    <x v="4"/>
    <n v="21.48"/>
    <n v="2"/>
    <n v="2.1480000000000001"/>
    <x v="842"/>
    <x v="842"/>
  </r>
  <r>
    <x v="1"/>
    <x v="0"/>
    <x v="0"/>
    <x v="0"/>
    <x v="2"/>
    <n v="63.56"/>
    <n v="10"/>
    <n v="31.78"/>
    <x v="843"/>
    <x v="843"/>
  </r>
  <r>
    <x v="1"/>
    <x v="1"/>
    <x v="1"/>
    <x v="0"/>
    <x v="5"/>
    <n v="72.88"/>
    <n v="2"/>
    <n v="7.2880000000000003"/>
    <x v="844"/>
    <x v="844"/>
  </r>
  <r>
    <x v="1"/>
    <x v="1"/>
    <x v="1"/>
    <x v="0"/>
    <x v="3"/>
    <n v="55.04"/>
    <n v="7"/>
    <n v="19.263999999999999"/>
    <x v="845"/>
    <x v="845"/>
  </r>
  <r>
    <x v="1"/>
    <x v="0"/>
    <x v="0"/>
    <x v="0"/>
    <x v="0"/>
    <n v="48.63"/>
    <n v="10"/>
    <n v="24.315000000000001"/>
    <x v="846"/>
    <x v="846"/>
  </r>
  <r>
    <x v="1"/>
    <x v="2"/>
    <x v="2"/>
    <x v="1"/>
    <x v="2"/>
    <n v="62.19"/>
    <n v="4"/>
    <n v="12.438000000000001"/>
    <x v="847"/>
    <x v="847"/>
  </r>
  <r>
    <x v="1"/>
    <x v="0"/>
    <x v="0"/>
    <x v="0"/>
    <x v="1"/>
    <n v="69.58"/>
    <n v="9"/>
    <n v="31.311"/>
    <x v="848"/>
    <x v="848"/>
  </r>
  <r>
    <x v="1"/>
    <x v="1"/>
    <x v="1"/>
    <x v="1"/>
    <x v="2"/>
    <n v="97.5"/>
    <n v="10"/>
    <n v="48.75"/>
    <x v="849"/>
    <x v="849"/>
  </r>
  <r>
    <x v="1"/>
    <x v="2"/>
    <x v="2"/>
    <x v="1"/>
    <x v="3"/>
    <n v="32.32"/>
    <n v="3"/>
    <n v="4.8479999999999999"/>
    <x v="850"/>
    <x v="850"/>
  </r>
  <r>
    <x v="1"/>
    <x v="2"/>
    <x v="2"/>
    <x v="0"/>
    <x v="0"/>
    <n v="80.47"/>
    <n v="9"/>
    <n v="362.11500000000001"/>
    <x v="851"/>
    <x v="851"/>
  </r>
  <r>
    <x v="1"/>
    <x v="2"/>
    <x v="2"/>
    <x v="1"/>
    <x v="0"/>
    <n v="71.77"/>
    <n v="7"/>
    <n v="251.19499999999999"/>
    <x v="852"/>
    <x v="852"/>
  </r>
  <r>
    <x v="1"/>
    <x v="1"/>
    <x v="1"/>
    <x v="0"/>
    <x v="3"/>
    <n v="68.98"/>
    <n v="1"/>
    <n v="3.4489999999999998"/>
    <x v="853"/>
    <x v="853"/>
  </r>
  <r>
    <x v="1"/>
    <x v="1"/>
    <x v="1"/>
    <x v="1"/>
    <x v="4"/>
    <n v="15.62"/>
    <n v="8"/>
    <n v="6.2480000000000002"/>
    <x v="854"/>
    <x v="854"/>
  </r>
  <r>
    <x v="1"/>
    <x v="0"/>
    <x v="0"/>
    <x v="1"/>
    <x v="5"/>
    <n v="25.7"/>
    <n v="3"/>
    <n v="3.855"/>
    <x v="855"/>
    <x v="855"/>
  </r>
  <r>
    <x v="1"/>
    <x v="0"/>
    <x v="0"/>
    <x v="0"/>
    <x v="3"/>
    <n v="80.62"/>
    <n v="6"/>
    <n v="24.186"/>
    <x v="856"/>
    <x v="856"/>
  </r>
  <r>
    <x v="1"/>
    <x v="1"/>
    <x v="1"/>
    <x v="0"/>
    <x v="4"/>
    <n v="98.7"/>
    <n v="8"/>
    <n v="39.479999999999997"/>
    <x v="21"/>
    <x v="21"/>
  </r>
  <r>
    <x v="1"/>
    <x v="0"/>
    <x v="0"/>
    <x v="0"/>
    <x v="1"/>
    <n v="11.94"/>
    <n v="3"/>
    <n v="1.7909999999999999"/>
    <x v="857"/>
    <x v="857"/>
  </r>
  <r>
    <x v="1"/>
    <x v="0"/>
    <x v="0"/>
    <x v="1"/>
    <x v="4"/>
    <n v="45.38"/>
    <n v="3"/>
    <n v="6.8070000000000004"/>
    <x v="858"/>
    <x v="858"/>
  </r>
  <r>
    <x v="1"/>
    <x v="2"/>
    <x v="2"/>
    <x v="1"/>
    <x v="2"/>
    <n v="44.12"/>
    <n v="3"/>
    <n v="6.6180000000000003"/>
    <x v="859"/>
    <x v="859"/>
  </r>
  <r>
    <x v="1"/>
    <x v="2"/>
    <x v="2"/>
    <x v="0"/>
    <x v="3"/>
    <n v="23.34"/>
    <n v="4"/>
    <n v="4.6680000000000001"/>
    <x v="860"/>
    <x v="860"/>
  </r>
  <r>
    <x v="1"/>
    <x v="1"/>
    <x v="1"/>
    <x v="0"/>
    <x v="2"/>
    <n v="55.57"/>
    <n v="3"/>
    <n v="8.3354999999999997"/>
    <x v="861"/>
    <x v="861"/>
  </r>
  <r>
    <x v="1"/>
    <x v="2"/>
    <x v="2"/>
    <x v="1"/>
    <x v="5"/>
    <n v="69.739999999999995"/>
    <n v="10"/>
    <n v="34.869999999999997"/>
    <x v="862"/>
    <x v="862"/>
  </r>
  <r>
    <x v="1"/>
    <x v="1"/>
    <x v="1"/>
    <x v="1"/>
    <x v="4"/>
    <n v="97.26"/>
    <n v="4"/>
    <n v="19.452000000000002"/>
    <x v="863"/>
    <x v="863"/>
  </r>
  <r>
    <x v="1"/>
    <x v="0"/>
    <x v="0"/>
    <x v="1"/>
    <x v="0"/>
    <n v="56"/>
    <n v="3"/>
    <n v="8.4"/>
    <x v="864"/>
    <x v="864"/>
  </r>
  <r>
    <x v="1"/>
    <x v="0"/>
    <x v="0"/>
    <x v="0"/>
    <x v="4"/>
    <n v="19.7"/>
    <n v="1"/>
    <n v="985"/>
    <x v="865"/>
    <x v="865"/>
  </r>
  <r>
    <x v="1"/>
    <x v="2"/>
    <x v="2"/>
    <x v="1"/>
    <x v="1"/>
    <n v="75.88"/>
    <n v="7"/>
    <n v="26.558"/>
    <x v="866"/>
    <x v="866"/>
  </r>
  <r>
    <x v="1"/>
    <x v="2"/>
    <x v="2"/>
    <x v="0"/>
    <x v="3"/>
    <n v="53.72"/>
    <n v="1"/>
    <n v="2.6859999999999999"/>
    <x v="867"/>
    <x v="867"/>
  </r>
  <r>
    <x v="1"/>
    <x v="1"/>
    <x v="1"/>
    <x v="0"/>
    <x v="0"/>
    <n v="81.95"/>
    <n v="10"/>
    <n v="40.975000000000001"/>
    <x v="868"/>
    <x v="868"/>
  </r>
  <r>
    <x v="1"/>
    <x v="1"/>
    <x v="1"/>
    <x v="1"/>
    <x v="1"/>
    <n v="58.76"/>
    <n v="10"/>
    <n v="29.38"/>
    <x v="869"/>
    <x v="869"/>
  </r>
  <r>
    <x v="1"/>
    <x v="2"/>
    <x v="2"/>
    <x v="0"/>
    <x v="1"/>
    <n v="91.56"/>
    <n v="8"/>
    <n v="36.624000000000002"/>
    <x v="870"/>
    <x v="870"/>
  </r>
  <r>
    <x v="1"/>
    <x v="0"/>
    <x v="0"/>
    <x v="1"/>
    <x v="2"/>
    <n v="93.96"/>
    <n v="9"/>
    <n v="42.281999999999996"/>
    <x v="871"/>
    <x v="871"/>
  </r>
  <r>
    <x v="1"/>
    <x v="1"/>
    <x v="1"/>
    <x v="1"/>
    <x v="2"/>
    <n v="55.61"/>
    <n v="7"/>
    <n v="194.63499999999999"/>
    <x v="872"/>
    <x v="872"/>
  </r>
  <r>
    <x v="1"/>
    <x v="1"/>
    <x v="1"/>
    <x v="1"/>
    <x v="3"/>
    <n v="84.83"/>
    <n v="1"/>
    <n v="4.2415000000000003"/>
    <x v="873"/>
    <x v="873"/>
  </r>
  <r>
    <x v="1"/>
    <x v="0"/>
    <x v="0"/>
    <x v="0"/>
    <x v="2"/>
    <n v="37.69"/>
    <n v="2"/>
    <n v="3.7690000000000001"/>
    <x v="874"/>
    <x v="874"/>
  </r>
  <r>
    <x v="1"/>
    <x v="2"/>
    <x v="2"/>
    <x v="0"/>
    <x v="4"/>
    <n v="65.23"/>
    <n v="10"/>
    <n v="32.615000000000002"/>
    <x v="875"/>
    <x v="875"/>
  </r>
  <r>
    <x v="1"/>
    <x v="1"/>
    <x v="1"/>
    <x v="0"/>
    <x v="0"/>
    <n v="81.23"/>
    <n v="7"/>
    <n v="284.30500000000001"/>
    <x v="876"/>
    <x v="876"/>
  </r>
  <r>
    <x v="1"/>
    <x v="2"/>
    <x v="2"/>
    <x v="1"/>
    <x v="2"/>
    <n v="73.28"/>
    <n v="5"/>
    <n v="18.32"/>
    <x v="877"/>
    <x v="877"/>
  </r>
  <r>
    <x v="1"/>
    <x v="0"/>
    <x v="0"/>
    <x v="0"/>
    <x v="3"/>
    <n v="18.850000000000001"/>
    <n v="10"/>
    <n v="9.4250000000000007"/>
    <x v="878"/>
    <x v="878"/>
  </r>
  <r>
    <x v="1"/>
    <x v="2"/>
    <x v="2"/>
    <x v="1"/>
    <x v="1"/>
    <n v="72.13"/>
    <n v="10"/>
    <n v="36.064999999999998"/>
    <x v="879"/>
    <x v="879"/>
  </r>
  <r>
    <x v="1"/>
    <x v="0"/>
    <x v="0"/>
    <x v="0"/>
    <x v="0"/>
    <n v="55.5"/>
    <n v="4"/>
    <n v="11.1"/>
    <x v="880"/>
    <x v="880"/>
  </r>
  <r>
    <x v="1"/>
    <x v="2"/>
    <x v="2"/>
    <x v="1"/>
    <x v="5"/>
    <n v="13.69"/>
    <n v="6"/>
    <n v="4.1070000000000002"/>
    <x v="881"/>
    <x v="881"/>
  </r>
  <r>
    <x v="1"/>
    <x v="1"/>
    <x v="1"/>
    <x v="0"/>
    <x v="3"/>
    <n v="65.650000000000006"/>
    <n v="2"/>
    <n v="6.5650000000000004"/>
    <x v="882"/>
    <x v="882"/>
  </r>
  <r>
    <x v="1"/>
    <x v="1"/>
    <x v="1"/>
    <x v="0"/>
    <x v="0"/>
    <n v="65.31"/>
    <n v="7"/>
    <n v="228.58500000000001"/>
    <x v="883"/>
    <x v="883"/>
  </r>
  <r>
    <x v="1"/>
    <x v="2"/>
    <x v="2"/>
    <x v="1"/>
    <x v="5"/>
    <n v="93.38"/>
    <n v="1"/>
    <n v="4.6689999999999996"/>
    <x v="884"/>
    <x v="884"/>
  </r>
  <r>
    <x v="1"/>
    <x v="1"/>
    <x v="1"/>
    <x v="0"/>
    <x v="5"/>
    <n v="25.25"/>
    <n v="5"/>
    <n v="6.3125"/>
    <x v="885"/>
    <x v="885"/>
  </r>
  <r>
    <x v="1"/>
    <x v="2"/>
    <x v="2"/>
    <x v="0"/>
    <x v="1"/>
    <n v="87.87"/>
    <n v="9"/>
    <n v="395.41500000000002"/>
    <x v="886"/>
    <x v="886"/>
  </r>
  <r>
    <x v="1"/>
    <x v="1"/>
    <x v="1"/>
    <x v="1"/>
    <x v="0"/>
    <n v="21.8"/>
    <n v="8"/>
    <n v="8.7200000000000006"/>
    <x v="887"/>
    <x v="887"/>
  </r>
  <r>
    <x v="1"/>
    <x v="0"/>
    <x v="0"/>
    <x v="1"/>
    <x v="1"/>
    <n v="74.58"/>
    <n v="7"/>
    <n v="26.103000000000002"/>
    <x v="888"/>
    <x v="888"/>
  </r>
  <r>
    <x v="1"/>
    <x v="1"/>
    <x v="1"/>
    <x v="1"/>
    <x v="1"/>
    <n v="71.89"/>
    <n v="8"/>
    <n v="28.756"/>
    <x v="889"/>
    <x v="889"/>
  </r>
  <r>
    <x v="1"/>
    <x v="1"/>
    <x v="1"/>
    <x v="0"/>
    <x v="0"/>
    <n v="60.47"/>
    <n v="3"/>
    <n v="9.0704999999999991"/>
    <x v="890"/>
    <x v="890"/>
  </r>
  <r>
    <x v="1"/>
    <x v="0"/>
    <x v="0"/>
    <x v="1"/>
    <x v="5"/>
    <n v="58.91"/>
    <n v="7"/>
    <n v="206.185"/>
    <x v="891"/>
    <x v="891"/>
  </r>
  <r>
    <x v="1"/>
    <x v="0"/>
    <x v="0"/>
    <x v="1"/>
    <x v="4"/>
    <n v="46.41"/>
    <n v="1"/>
    <n v="2.3205"/>
    <x v="892"/>
    <x v="892"/>
  </r>
  <r>
    <x v="1"/>
    <x v="1"/>
    <x v="1"/>
    <x v="0"/>
    <x v="0"/>
    <n v="68.55"/>
    <n v="4"/>
    <n v="13.71"/>
    <x v="893"/>
    <x v="893"/>
  </r>
  <r>
    <x v="1"/>
    <x v="0"/>
    <x v="0"/>
    <x v="0"/>
    <x v="1"/>
    <n v="92.6"/>
    <n v="7"/>
    <n v="32.409999999999997"/>
    <x v="894"/>
    <x v="894"/>
  </r>
  <r>
    <x v="1"/>
    <x v="2"/>
    <x v="2"/>
    <x v="1"/>
    <x v="4"/>
    <n v="27.18"/>
    <n v="2"/>
    <n v="2.718"/>
    <x v="895"/>
    <x v="895"/>
  </r>
  <r>
    <x v="1"/>
    <x v="2"/>
    <x v="2"/>
    <x v="1"/>
    <x v="0"/>
    <n v="92.78"/>
    <n v="1"/>
    <n v="4.6390000000000002"/>
    <x v="896"/>
    <x v="896"/>
  </r>
  <r>
    <x v="1"/>
    <x v="1"/>
    <x v="1"/>
    <x v="0"/>
    <x v="2"/>
    <n v="86.69"/>
    <n v="5"/>
    <n v="216.72499999999999"/>
    <x v="897"/>
    <x v="897"/>
  </r>
  <r>
    <x v="1"/>
    <x v="2"/>
    <x v="2"/>
    <x v="1"/>
    <x v="5"/>
    <n v="23.01"/>
    <n v="6"/>
    <n v="6.9029999999999996"/>
    <x v="898"/>
    <x v="898"/>
  </r>
  <r>
    <x v="1"/>
    <x v="1"/>
    <x v="1"/>
    <x v="0"/>
    <x v="4"/>
    <n v="67.39"/>
    <n v="7"/>
    <n v="235.86500000000001"/>
    <x v="899"/>
    <x v="899"/>
  </r>
  <r>
    <x v="1"/>
    <x v="2"/>
    <x v="2"/>
    <x v="1"/>
    <x v="0"/>
    <n v="10.75"/>
    <n v="8"/>
    <n v="4.3"/>
    <x v="900"/>
    <x v="900"/>
  </r>
  <r>
    <x v="1"/>
    <x v="0"/>
    <x v="0"/>
    <x v="1"/>
    <x v="1"/>
    <n v="95.15"/>
    <n v="1"/>
    <n v="4.7575000000000003"/>
    <x v="901"/>
    <x v="901"/>
  </r>
  <r>
    <x v="1"/>
    <x v="0"/>
    <x v="0"/>
    <x v="1"/>
    <x v="3"/>
    <n v="33.880000000000003"/>
    <n v="8"/>
    <n v="13.552"/>
    <x v="902"/>
    <x v="902"/>
  </r>
  <r>
    <x v="1"/>
    <x v="2"/>
    <x v="2"/>
    <x v="0"/>
    <x v="0"/>
    <n v="96.16"/>
    <n v="4"/>
    <n v="19.231999999999999"/>
    <x v="903"/>
    <x v="903"/>
  </r>
  <r>
    <x v="1"/>
    <x v="2"/>
    <x v="2"/>
    <x v="0"/>
    <x v="3"/>
    <n v="47.16"/>
    <n v="5"/>
    <n v="11.79"/>
    <x v="904"/>
    <x v="904"/>
  </r>
  <r>
    <x v="1"/>
    <x v="2"/>
    <x v="2"/>
    <x v="1"/>
    <x v="1"/>
    <n v="52.89"/>
    <n v="4"/>
    <n v="10.577999999999999"/>
    <x v="905"/>
    <x v="905"/>
  </r>
  <r>
    <x v="1"/>
    <x v="1"/>
    <x v="1"/>
    <x v="0"/>
    <x v="5"/>
    <n v="10.17"/>
    <n v="1"/>
    <n v="5.085"/>
    <x v="906"/>
    <x v="906"/>
  </r>
  <r>
    <x v="1"/>
    <x v="0"/>
    <x v="0"/>
    <x v="0"/>
    <x v="4"/>
    <n v="41.28"/>
    <n v="3"/>
    <n v="6.1920000000000002"/>
    <x v="907"/>
    <x v="907"/>
  </r>
  <r>
    <x v="1"/>
    <x v="1"/>
    <x v="1"/>
    <x v="1"/>
    <x v="1"/>
    <n v="64.95"/>
    <n v="10"/>
    <n v="32.475000000000001"/>
    <x v="908"/>
    <x v="908"/>
  </r>
  <r>
    <x v="1"/>
    <x v="0"/>
    <x v="0"/>
    <x v="1"/>
    <x v="1"/>
    <n v="10.56"/>
    <n v="8"/>
    <n v="4.2240000000000002"/>
    <x v="909"/>
    <x v="909"/>
  </r>
  <r>
    <x v="1"/>
    <x v="2"/>
    <x v="2"/>
    <x v="1"/>
    <x v="0"/>
    <n v="62.57"/>
    <n v="4"/>
    <n v="12.513999999999999"/>
    <x v="910"/>
    <x v="910"/>
  </r>
  <r>
    <x v="1"/>
    <x v="0"/>
    <x v="0"/>
    <x v="0"/>
    <x v="0"/>
    <n v="91.3"/>
    <n v="1"/>
    <n v="4.5650000000000004"/>
    <x v="911"/>
    <x v="911"/>
  </r>
  <r>
    <x v="1"/>
    <x v="0"/>
    <x v="0"/>
    <x v="1"/>
    <x v="4"/>
    <n v="52.38"/>
    <n v="1"/>
    <n v="2.6190000000000002"/>
    <x v="912"/>
    <x v="912"/>
  </r>
  <r>
    <x v="1"/>
    <x v="0"/>
    <x v="0"/>
    <x v="0"/>
    <x v="4"/>
    <n v="38.54"/>
    <n v="5"/>
    <n v="9.6349999999999998"/>
    <x v="913"/>
    <x v="913"/>
  </r>
  <r>
    <x v="1"/>
    <x v="2"/>
    <x v="2"/>
    <x v="1"/>
    <x v="5"/>
    <n v="44.63"/>
    <n v="6"/>
    <n v="13.388999999999999"/>
    <x v="914"/>
    <x v="914"/>
  </r>
  <r>
    <x v="1"/>
    <x v="1"/>
    <x v="1"/>
    <x v="1"/>
    <x v="1"/>
    <n v="55.87"/>
    <n v="10"/>
    <n v="27.934999999999999"/>
    <x v="915"/>
    <x v="915"/>
  </r>
  <r>
    <x v="1"/>
    <x v="0"/>
    <x v="0"/>
    <x v="1"/>
    <x v="4"/>
    <n v="51.94"/>
    <n v="3"/>
    <n v="7.7910000000000004"/>
    <x v="916"/>
    <x v="916"/>
  </r>
  <r>
    <x v="1"/>
    <x v="2"/>
    <x v="2"/>
    <x v="1"/>
    <x v="1"/>
    <n v="60.3"/>
    <n v="1"/>
    <n v="3.0150000000000001"/>
    <x v="917"/>
    <x v="917"/>
  </r>
  <r>
    <x v="1"/>
    <x v="0"/>
    <x v="0"/>
    <x v="1"/>
    <x v="4"/>
    <n v="21.32"/>
    <n v="1"/>
    <n v="1.0660000000000001"/>
    <x v="918"/>
    <x v="918"/>
  </r>
  <r>
    <x v="1"/>
    <x v="0"/>
    <x v="0"/>
    <x v="0"/>
    <x v="1"/>
    <n v="93.78"/>
    <n v="3"/>
    <n v="14.067"/>
    <x v="919"/>
    <x v="919"/>
  </r>
  <r>
    <x v="1"/>
    <x v="0"/>
    <x v="0"/>
    <x v="0"/>
    <x v="1"/>
    <n v="73.260000000000005"/>
    <n v="1"/>
    <n v="3.6629999999999998"/>
    <x v="920"/>
    <x v="920"/>
  </r>
  <r>
    <x v="1"/>
    <x v="0"/>
    <x v="0"/>
    <x v="1"/>
    <x v="4"/>
    <n v="74.099999999999994"/>
    <n v="1"/>
    <n v="3.7050000000000001"/>
    <x v="921"/>
    <x v="921"/>
  </r>
  <r>
    <x v="1"/>
    <x v="1"/>
    <x v="1"/>
    <x v="1"/>
    <x v="0"/>
    <n v="53.19"/>
    <n v="7"/>
    <n v="186.16499999999999"/>
    <x v="922"/>
    <x v="922"/>
  </r>
  <r>
    <x v="1"/>
    <x v="2"/>
    <x v="2"/>
    <x v="1"/>
    <x v="3"/>
    <n v="21.12"/>
    <n v="8"/>
    <n v="8.4480000000000004"/>
    <x v="923"/>
    <x v="923"/>
  </r>
  <r>
    <x v="1"/>
    <x v="2"/>
    <x v="2"/>
    <x v="1"/>
    <x v="0"/>
    <n v="57.59"/>
    <n v="6"/>
    <n v="17.277000000000001"/>
    <x v="924"/>
    <x v="924"/>
  </r>
  <r>
    <x v="1"/>
    <x v="0"/>
    <x v="0"/>
    <x v="0"/>
    <x v="5"/>
    <n v="12.76"/>
    <n v="2"/>
    <n v="1.276"/>
    <x v="925"/>
    <x v="925"/>
  </r>
  <r>
    <x v="1"/>
    <x v="1"/>
    <x v="1"/>
    <x v="0"/>
    <x v="0"/>
    <n v="33.81"/>
    <n v="3"/>
    <n v="5.0715000000000003"/>
    <x v="926"/>
    <x v="926"/>
  </r>
  <r>
    <x v="1"/>
    <x v="2"/>
    <x v="2"/>
    <x v="0"/>
    <x v="5"/>
    <n v="90.53"/>
    <n v="8"/>
    <n v="36.212000000000003"/>
    <x v="927"/>
    <x v="927"/>
  </r>
  <r>
    <x v="1"/>
    <x v="1"/>
    <x v="1"/>
    <x v="0"/>
    <x v="3"/>
    <n v="24.31"/>
    <n v="3"/>
    <n v="3.6465000000000001"/>
    <x v="928"/>
    <x v="928"/>
  </r>
  <r>
    <x v="1"/>
    <x v="0"/>
    <x v="0"/>
    <x v="1"/>
    <x v="5"/>
    <n v="64.59"/>
    <n v="4"/>
    <n v="12.917999999999999"/>
    <x v="929"/>
    <x v="929"/>
  </r>
  <r>
    <x v="1"/>
    <x v="0"/>
    <x v="0"/>
    <x v="0"/>
    <x v="3"/>
    <n v="24.82"/>
    <n v="7"/>
    <n v="8.6869999999999994"/>
    <x v="930"/>
    <x v="930"/>
  </r>
  <r>
    <x v="1"/>
    <x v="1"/>
    <x v="1"/>
    <x v="1"/>
    <x v="4"/>
    <n v="56.5"/>
    <n v="1"/>
    <n v="2.8250000000000002"/>
    <x v="931"/>
    <x v="931"/>
  </r>
  <r>
    <x v="1"/>
    <x v="0"/>
    <x v="0"/>
    <x v="0"/>
    <x v="5"/>
    <n v="89.06"/>
    <n v="6"/>
    <n v="26.718"/>
    <x v="932"/>
    <x v="932"/>
  </r>
  <r>
    <x v="1"/>
    <x v="0"/>
    <x v="0"/>
    <x v="0"/>
    <x v="2"/>
    <n v="23.29"/>
    <n v="4"/>
    <n v="4.6580000000000004"/>
    <x v="933"/>
    <x v="933"/>
  </r>
  <r>
    <x v="1"/>
    <x v="1"/>
    <x v="1"/>
    <x v="1"/>
    <x v="2"/>
    <n v="65.260000000000005"/>
    <n v="8"/>
    <n v="26.103999999999999"/>
    <x v="934"/>
    <x v="934"/>
  </r>
  <r>
    <x v="1"/>
    <x v="1"/>
    <x v="1"/>
    <x v="0"/>
    <x v="4"/>
    <n v="52.35"/>
    <n v="1"/>
    <n v="2.6175000000000002"/>
    <x v="935"/>
    <x v="935"/>
  </r>
  <r>
    <x v="1"/>
    <x v="2"/>
    <x v="2"/>
    <x v="0"/>
    <x v="1"/>
    <n v="39.75"/>
    <n v="1"/>
    <n v="1.9875"/>
    <x v="936"/>
    <x v="936"/>
  </r>
  <r>
    <x v="1"/>
    <x v="2"/>
    <x v="2"/>
    <x v="0"/>
    <x v="5"/>
    <n v="31.99"/>
    <n v="10"/>
    <n v="15.994999999999999"/>
    <x v="937"/>
    <x v="937"/>
  </r>
  <r>
    <x v="1"/>
    <x v="0"/>
    <x v="0"/>
    <x v="1"/>
    <x v="5"/>
    <n v="45.58"/>
    <n v="7"/>
    <n v="15.952999999999999"/>
    <x v="938"/>
    <x v="938"/>
  </r>
  <r>
    <x v="1"/>
    <x v="0"/>
    <x v="0"/>
    <x v="0"/>
    <x v="3"/>
    <n v="87.9"/>
    <n v="1"/>
    <n v="4.3949999999999996"/>
    <x v="939"/>
    <x v="939"/>
  </r>
  <r>
    <x v="1"/>
    <x v="0"/>
    <x v="0"/>
    <x v="0"/>
    <x v="5"/>
    <n v="76.92"/>
    <n v="10"/>
    <n v="38.46"/>
    <x v="940"/>
    <x v="940"/>
  </r>
  <r>
    <x v="1"/>
    <x v="2"/>
    <x v="2"/>
    <x v="1"/>
    <x v="1"/>
    <n v="28.38"/>
    <n v="5"/>
    <n v="7.0949999999999998"/>
    <x v="941"/>
    <x v="941"/>
  </r>
  <r>
    <x v="1"/>
    <x v="2"/>
    <x v="2"/>
    <x v="0"/>
    <x v="1"/>
    <n v="50.45"/>
    <n v="6"/>
    <n v="15.135"/>
    <x v="942"/>
    <x v="942"/>
  </r>
  <r>
    <x v="1"/>
    <x v="2"/>
    <x v="2"/>
    <x v="1"/>
    <x v="0"/>
    <n v="99.16"/>
    <n v="8"/>
    <n v="39.664000000000001"/>
    <x v="943"/>
    <x v="943"/>
  </r>
  <r>
    <x v="1"/>
    <x v="1"/>
    <x v="1"/>
    <x v="1"/>
    <x v="4"/>
    <n v="60.74"/>
    <n v="7"/>
    <n v="21.259"/>
    <x v="944"/>
    <x v="944"/>
  </r>
  <r>
    <x v="1"/>
    <x v="1"/>
    <x v="1"/>
    <x v="0"/>
    <x v="0"/>
    <n v="85.6"/>
    <n v="7"/>
    <n v="29.96"/>
    <x v="945"/>
    <x v="945"/>
  </r>
  <r>
    <x v="1"/>
    <x v="0"/>
    <x v="0"/>
    <x v="0"/>
    <x v="3"/>
    <n v="35.04"/>
    <n v="9"/>
    <n v="15.768000000000001"/>
    <x v="946"/>
    <x v="946"/>
  </r>
  <r>
    <x v="1"/>
    <x v="2"/>
    <x v="2"/>
    <x v="1"/>
    <x v="2"/>
    <n v="45.97"/>
    <n v="4"/>
    <n v="9.1940000000000008"/>
    <x v="947"/>
    <x v="947"/>
  </r>
  <r>
    <x v="1"/>
    <x v="0"/>
    <x v="0"/>
    <x v="1"/>
    <x v="3"/>
    <n v="11.53"/>
    <n v="7"/>
    <n v="4.0354999999999999"/>
    <x v="948"/>
    <x v="948"/>
  </r>
  <r>
    <x v="1"/>
    <x v="1"/>
    <x v="1"/>
    <x v="1"/>
    <x v="0"/>
    <n v="84.61"/>
    <n v="10"/>
    <n v="42.305"/>
    <x v="949"/>
    <x v="949"/>
  </r>
  <r>
    <x v="1"/>
    <x v="0"/>
    <x v="0"/>
    <x v="0"/>
    <x v="4"/>
    <n v="51.34"/>
    <n v="8"/>
    <n v="20.536000000000001"/>
    <x v="950"/>
    <x v="950"/>
  </r>
  <r>
    <x v="1"/>
    <x v="1"/>
    <x v="1"/>
    <x v="0"/>
    <x v="5"/>
    <n v="42.85"/>
    <n v="1"/>
    <n v="2.1425000000000001"/>
    <x v="951"/>
    <x v="951"/>
  </r>
  <r>
    <x v="1"/>
    <x v="2"/>
    <x v="2"/>
    <x v="1"/>
    <x v="2"/>
    <n v="68.97"/>
    <n v="3"/>
    <n v="10.345499999999999"/>
    <x v="952"/>
    <x v="952"/>
  </r>
  <r>
    <x v="1"/>
    <x v="2"/>
    <x v="2"/>
    <x v="0"/>
    <x v="5"/>
    <n v="88.31"/>
    <n v="1"/>
    <n v="4.4154999999999998"/>
    <x v="953"/>
    <x v="953"/>
  </r>
  <r>
    <x v="1"/>
    <x v="2"/>
    <x v="2"/>
    <x v="1"/>
    <x v="5"/>
    <n v="25.31"/>
    <n v="2"/>
    <n v="2.5310000000000001"/>
    <x v="954"/>
    <x v="954"/>
  </r>
  <r>
    <x v="1"/>
    <x v="2"/>
    <x v="2"/>
    <x v="1"/>
    <x v="2"/>
    <n v="99.92"/>
    <n v="6"/>
    <n v="29.975999999999999"/>
    <x v="955"/>
    <x v="955"/>
  </r>
  <r>
    <x v="1"/>
    <x v="1"/>
    <x v="1"/>
    <x v="1"/>
    <x v="0"/>
    <n v="64.08"/>
    <n v="7"/>
    <n v="22.428000000000001"/>
    <x v="329"/>
    <x v="329"/>
  </r>
  <r>
    <x v="1"/>
    <x v="1"/>
    <x v="1"/>
    <x v="0"/>
    <x v="2"/>
    <n v="85.72"/>
    <n v="3"/>
    <n v="12.858000000000001"/>
    <x v="956"/>
    <x v="956"/>
  </r>
  <r>
    <x v="1"/>
    <x v="0"/>
    <x v="0"/>
    <x v="1"/>
    <x v="3"/>
    <n v="66.52"/>
    <n v="4"/>
    <n v="13.304"/>
    <x v="957"/>
    <x v="957"/>
  </r>
  <r>
    <x v="1"/>
    <x v="1"/>
    <x v="1"/>
    <x v="0"/>
    <x v="4"/>
    <n v="99.82"/>
    <n v="9"/>
    <n v="44.918999999999997"/>
    <x v="958"/>
    <x v="958"/>
  </r>
  <r>
    <x v="1"/>
    <x v="0"/>
    <x v="0"/>
    <x v="1"/>
    <x v="0"/>
    <n v="50.79"/>
    <n v="5"/>
    <n v="12.6975"/>
    <x v="959"/>
    <x v="959"/>
  </r>
  <r>
    <x v="1"/>
    <x v="0"/>
    <x v="0"/>
    <x v="0"/>
    <x v="0"/>
    <n v="10.08"/>
    <n v="7"/>
    <n v="3.528"/>
    <x v="960"/>
    <x v="960"/>
  </r>
  <r>
    <x v="1"/>
    <x v="1"/>
    <x v="1"/>
    <x v="0"/>
    <x v="1"/>
    <n v="84.25"/>
    <n v="2"/>
    <n v="8.4250000000000007"/>
    <x v="961"/>
    <x v="961"/>
  </r>
  <r>
    <x v="1"/>
    <x v="2"/>
    <x v="2"/>
    <x v="0"/>
    <x v="4"/>
    <n v="53.78"/>
    <n v="1"/>
    <n v="2.6890000000000001"/>
    <x v="962"/>
    <x v="962"/>
  </r>
  <r>
    <x v="1"/>
    <x v="1"/>
    <x v="1"/>
    <x v="0"/>
    <x v="2"/>
    <n v="35.81"/>
    <n v="5"/>
    <n v="8.9525000000000006"/>
    <x v="963"/>
    <x v="963"/>
  </r>
  <r>
    <x v="1"/>
    <x v="2"/>
    <x v="2"/>
    <x v="0"/>
    <x v="0"/>
    <n v="39.909999999999997"/>
    <n v="3"/>
    <n v="5.9865000000000004"/>
    <x v="964"/>
    <x v="964"/>
  </r>
  <r>
    <x v="1"/>
    <x v="2"/>
    <x v="2"/>
    <x v="0"/>
    <x v="2"/>
    <n v="65.91"/>
    <n v="6"/>
    <n v="19.773"/>
    <x v="965"/>
    <x v="965"/>
  </r>
  <r>
    <x v="1"/>
    <x v="1"/>
    <x v="1"/>
    <x v="0"/>
    <x v="3"/>
    <n v="50.49"/>
    <n v="9"/>
    <n v="227.20500000000001"/>
    <x v="966"/>
    <x v="966"/>
  </r>
  <r>
    <x v="1"/>
    <x v="2"/>
    <x v="2"/>
    <x v="1"/>
    <x v="1"/>
    <n v="46.02"/>
    <n v="6"/>
    <n v="13.805999999999999"/>
    <x v="967"/>
    <x v="967"/>
  </r>
  <r>
    <x v="1"/>
    <x v="1"/>
    <x v="1"/>
    <x v="0"/>
    <x v="4"/>
    <n v="91.98"/>
    <n v="1"/>
    <n v="4.5990000000000002"/>
    <x v="968"/>
    <x v="968"/>
  </r>
  <r>
    <x v="1"/>
    <x v="0"/>
    <x v="0"/>
    <x v="0"/>
    <x v="1"/>
    <n v="20.89"/>
    <n v="2"/>
    <n v="2.089"/>
    <x v="969"/>
    <x v="969"/>
  </r>
  <r>
    <x v="1"/>
    <x v="1"/>
    <x v="1"/>
    <x v="0"/>
    <x v="1"/>
    <n v="96.82"/>
    <n v="3"/>
    <n v="14.523"/>
    <x v="970"/>
    <x v="970"/>
  </r>
  <r>
    <x v="1"/>
    <x v="2"/>
    <x v="2"/>
    <x v="1"/>
    <x v="3"/>
    <n v="33.33"/>
    <n v="2"/>
    <n v="3.3330000000000002"/>
    <x v="971"/>
    <x v="971"/>
  </r>
  <r>
    <x v="1"/>
    <x v="0"/>
    <x v="0"/>
    <x v="0"/>
    <x v="2"/>
    <n v="81.010000000000005"/>
    <n v="3"/>
    <n v="12.1515"/>
    <x v="972"/>
    <x v="972"/>
  </r>
  <r>
    <x v="1"/>
    <x v="2"/>
    <x v="2"/>
    <x v="0"/>
    <x v="2"/>
    <n v="36.909999999999997"/>
    <n v="7"/>
    <n v="12.9185"/>
    <x v="973"/>
    <x v="973"/>
  </r>
  <r>
    <x v="1"/>
    <x v="2"/>
    <x v="2"/>
    <x v="1"/>
    <x v="1"/>
    <n v="87.08"/>
    <n v="7"/>
    <n v="30.478000000000002"/>
    <x v="974"/>
    <x v="974"/>
  </r>
  <r>
    <x v="1"/>
    <x v="0"/>
    <x v="0"/>
    <x v="1"/>
    <x v="2"/>
    <n v="80.08"/>
    <n v="3"/>
    <n v="12.012"/>
    <x v="975"/>
    <x v="975"/>
  </r>
  <r>
    <x v="1"/>
    <x v="1"/>
    <x v="1"/>
    <x v="1"/>
    <x v="4"/>
    <n v="86.13"/>
    <n v="2"/>
    <n v="8.6129999999999995"/>
    <x v="976"/>
    <x v="976"/>
  </r>
  <r>
    <x v="1"/>
    <x v="2"/>
    <x v="2"/>
    <x v="0"/>
    <x v="4"/>
    <n v="49.92"/>
    <n v="2"/>
    <n v="4.992"/>
    <x v="977"/>
    <x v="977"/>
  </r>
  <r>
    <x v="1"/>
    <x v="2"/>
    <x v="2"/>
    <x v="0"/>
    <x v="3"/>
    <n v="26.6"/>
    <n v="6"/>
    <n v="7.98"/>
    <x v="978"/>
    <x v="978"/>
  </r>
  <r>
    <x v="1"/>
    <x v="1"/>
    <x v="1"/>
    <x v="0"/>
    <x v="3"/>
    <n v="59.59"/>
    <n v="4"/>
    <n v="11.917999999999999"/>
    <x v="979"/>
    <x v="979"/>
  </r>
  <r>
    <x v="1"/>
    <x v="0"/>
    <x v="0"/>
    <x v="1"/>
    <x v="0"/>
    <n v="58.15"/>
    <n v="4"/>
    <n v="11.63"/>
    <x v="980"/>
    <x v="980"/>
  </r>
  <r>
    <x v="1"/>
    <x v="1"/>
    <x v="1"/>
    <x v="1"/>
    <x v="0"/>
    <n v="99.96"/>
    <n v="7"/>
    <n v="34.985999999999997"/>
    <x v="981"/>
    <x v="981"/>
  </r>
  <r>
    <x v="1"/>
    <x v="1"/>
    <x v="1"/>
    <x v="1"/>
    <x v="1"/>
    <n v="96.37"/>
    <n v="7"/>
    <n v="337.29500000000002"/>
    <x v="982"/>
    <x v="982"/>
  </r>
  <r>
    <x v="1"/>
    <x v="2"/>
    <x v="2"/>
    <x v="0"/>
    <x v="0"/>
    <n v="62"/>
    <n v="8"/>
    <n v="24.8"/>
    <x v="983"/>
    <x v="983"/>
  </r>
  <r>
    <x v="1"/>
    <x v="1"/>
    <x v="1"/>
    <x v="0"/>
    <x v="1"/>
    <n v="82.34"/>
    <n v="10"/>
    <n v="41.17"/>
    <x v="984"/>
    <x v="984"/>
  </r>
  <r>
    <x v="1"/>
    <x v="2"/>
    <x v="2"/>
    <x v="0"/>
    <x v="0"/>
    <n v="75.37"/>
    <n v="8"/>
    <n v="30.148"/>
    <x v="985"/>
    <x v="985"/>
  </r>
  <r>
    <x v="1"/>
    <x v="0"/>
    <x v="0"/>
    <x v="1"/>
    <x v="1"/>
    <n v="58.03"/>
    <n v="2"/>
    <n v="5.8029999999999999"/>
    <x v="986"/>
    <x v="986"/>
  </r>
  <r>
    <x v="1"/>
    <x v="2"/>
    <x v="2"/>
    <x v="1"/>
    <x v="4"/>
    <n v="17.489999999999998"/>
    <n v="10"/>
    <n v="8.7449999999999992"/>
    <x v="987"/>
    <x v="987"/>
  </r>
  <r>
    <x v="1"/>
    <x v="1"/>
    <x v="1"/>
    <x v="1"/>
    <x v="0"/>
    <n v="40.35"/>
    <n v="1"/>
    <n v="2.0175000000000001"/>
    <x v="988"/>
    <x v="988"/>
  </r>
  <r>
    <x v="1"/>
    <x v="0"/>
    <x v="0"/>
    <x v="0"/>
    <x v="3"/>
    <n v="31.84"/>
    <n v="1"/>
    <n v="1.5920000000000001"/>
    <x v="989"/>
    <x v="989"/>
  </r>
  <r>
    <x v="1"/>
    <x v="0"/>
    <x v="0"/>
    <x v="1"/>
    <x v="2"/>
    <n v="65.819999999999993"/>
    <n v="1"/>
    <n v="3.2909999999999999"/>
    <x v="990"/>
    <x v="99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01E367F-4535-4814-A146-84EAA354872E}"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3">
  <location ref="A51:B54" firstHeaderRow="1" firstDataRow="1" firstDataCol="1"/>
  <pivotFields count="10">
    <pivotField showAll="0">
      <items count="3">
        <item x="0"/>
        <item x="1"/>
        <item t="default"/>
      </items>
    </pivotField>
    <pivotField showAll="0">
      <items count="4">
        <item x="0"/>
        <item x="2"/>
        <item x="1"/>
        <item t="default"/>
      </items>
    </pivotField>
    <pivotField showAll="0">
      <items count="4">
        <item x="2"/>
        <item x="1"/>
        <item x="0"/>
        <item t="default"/>
      </items>
    </pivotField>
    <pivotField axis="axisRow" showAll="0">
      <items count="3">
        <item x="0"/>
        <item x="1"/>
        <item t="default"/>
      </items>
    </pivotField>
    <pivotField showAll="0">
      <items count="7">
        <item x="1"/>
        <item x="4"/>
        <item x="3"/>
        <item x="0"/>
        <item x="2"/>
        <item x="5"/>
        <item t="default"/>
      </items>
    </pivotField>
    <pivotField showAll="0"/>
    <pivotField showAll="0"/>
    <pivotField showAll="0"/>
    <pivotField showAll="0"/>
    <pivotField dataField="1" showAll="0"/>
  </pivotFields>
  <rowFields count="1">
    <field x="3"/>
  </rowFields>
  <rowItems count="3">
    <i>
      <x/>
    </i>
    <i>
      <x v="1"/>
    </i>
    <i t="grand">
      <x/>
    </i>
  </rowItems>
  <colItems count="1">
    <i/>
  </colItems>
  <dataFields count="1">
    <dataField name="Sum of Revenue" fld="9" showDataAs="percentOfTotal" baseField="3" baseItem="0" numFmtId="10"/>
  </dataFields>
  <chartFormats count="3">
    <chartFormat chart="12" format="10" series="1">
      <pivotArea type="data" outline="0" fieldPosition="0">
        <references count="1">
          <reference field="4294967294" count="1" selected="0">
            <x v="0"/>
          </reference>
        </references>
      </pivotArea>
    </chartFormat>
    <chartFormat chart="12" format="11">
      <pivotArea type="data" outline="0" fieldPosition="0">
        <references count="2">
          <reference field="4294967294" count="1" selected="0">
            <x v="0"/>
          </reference>
          <reference field="3" count="1" selected="0">
            <x v="0"/>
          </reference>
        </references>
      </pivotArea>
    </chartFormat>
    <chartFormat chart="12" format="12">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C38D049-A5AB-46A8-AD77-F07851B0202C}"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3">
  <location ref="A27:D35" firstHeaderRow="1" firstDataRow="2" firstDataCol="1"/>
  <pivotFields count="10">
    <pivotField axis="axisCol" showAll="0">
      <items count="3">
        <item x="0"/>
        <item x="1"/>
        <item t="default"/>
      </items>
    </pivotField>
    <pivotField showAll="0"/>
    <pivotField showAll="0">
      <items count="4">
        <item x="2"/>
        <item x="1"/>
        <item x="0"/>
        <item t="default"/>
      </items>
    </pivotField>
    <pivotField showAll="0">
      <items count="3">
        <item x="0"/>
        <item x="1"/>
        <item t="default"/>
      </items>
    </pivotField>
    <pivotField axis="axisRow" showAll="0" sortType="descending">
      <items count="7">
        <item x="1"/>
        <item x="4"/>
        <item x="3"/>
        <item x="0"/>
        <item x="2"/>
        <item x="5"/>
        <item t="default"/>
      </items>
      <autoSortScope>
        <pivotArea dataOnly="0" outline="0" fieldPosition="0">
          <references count="2">
            <reference field="4294967294" count="1" selected="0">
              <x v="0"/>
            </reference>
            <reference field="0" count="1" selected="0">
              <x v="0"/>
            </reference>
          </references>
        </pivotArea>
      </autoSortScope>
    </pivotField>
    <pivotField showAll="0"/>
    <pivotField showAll="0"/>
    <pivotField showAll="0"/>
    <pivotField showAll="0"/>
    <pivotField dataField="1" showAll="0"/>
  </pivotFields>
  <rowFields count="1">
    <field x="4"/>
  </rowFields>
  <rowItems count="7">
    <i>
      <x v="2"/>
    </i>
    <i>
      <x v="1"/>
    </i>
    <i>
      <x v="4"/>
    </i>
    <i>
      <x v="5"/>
    </i>
    <i>
      <x/>
    </i>
    <i>
      <x v="3"/>
    </i>
    <i t="grand">
      <x/>
    </i>
  </rowItems>
  <colFields count="1">
    <field x="0"/>
  </colFields>
  <colItems count="3">
    <i>
      <x/>
    </i>
    <i>
      <x v="1"/>
    </i>
    <i t="grand">
      <x/>
    </i>
  </colItems>
  <dataFields count="1">
    <dataField name="Sum of Revenue" fld="9" baseField="4" baseItem="0" numFmtId="164"/>
  </dataFields>
  <chartFormats count="6">
    <chartFormat chart="22" format="8" series="1">
      <pivotArea type="data" outline="0" fieldPosition="0">
        <references count="2">
          <reference field="4294967294" count="1" selected="0">
            <x v="0"/>
          </reference>
          <reference field="0" count="1" selected="0">
            <x v="0"/>
          </reference>
        </references>
      </pivotArea>
    </chartFormat>
    <chartFormat chart="22" format="9" series="1">
      <pivotArea type="data" outline="0" fieldPosition="0">
        <references count="2">
          <reference field="4294967294" count="1" selected="0">
            <x v="0"/>
          </reference>
          <reference field="0" count="1" selected="0">
            <x v="1"/>
          </reference>
        </references>
      </pivotArea>
    </chartFormat>
    <chartFormat chart="22" format="10">
      <pivotArea type="data" outline="0" fieldPosition="0">
        <references count="3">
          <reference field="4294967294" count="1" selected="0">
            <x v="0"/>
          </reference>
          <reference field="0" count="1" selected="0">
            <x v="0"/>
          </reference>
          <reference field="4" count="1" selected="0">
            <x v="5"/>
          </reference>
        </references>
      </pivotArea>
    </chartFormat>
    <chartFormat chart="22" format="11">
      <pivotArea type="data" outline="0" fieldPosition="0">
        <references count="3">
          <reference field="4294967294" count="1" selected="0">
            <x v="0"/>
          </reference>
          <reference field="0" count="1" selected="0">
            <x v="1"/>
          </reference>
          <reference field="4" count="1" selected="0">
            <x v="5"/>
          </reference>
        </references>
      </pivotArea>
    </chartFormat>
    <chartFormat chart="22" format="12">
      <pivotArea type="data" outline="0" fieldPosition="0">
        <references count="3">
          <reference field="4294967294" count="1" selected="0">
            <x v="0"/>
          </reference>
          <reference field="0" count="1" selected="0">
            <x v="0"/>
          </reference>
          <reference field="4" count="1" selected="0">
            <x v="0"/>
          </reference>
        </references>
      </pivotArea>
    </chartFormat>
    <chartFormat chart="22" format="13">
      <pivotArea type="data" outline="0" fieldPosition="0">
        <references count="3">
          <reference field="4294967294" count="1" selected="0">
            <x v="0"/>
          </reference>
          <reference field="0" count="1" selected="0">
            <x v="1"/>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59A81CA-4D3F-4751-88F0-0EDA723B04B2}"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A9:B13" firstHeaderRow="1" firstDataRow="1" firstDataCol="1"/>
  <pivotFields count="10">
    <pivotField showAll="0">
      <items count="3">
        <item x="0"/>
        <item x="1"/>
        <item t="default"/>
      </items>
    </pivotField>
    <pivotField showAll="0"/>
    <pivotField axis="axisRow" showAll="0">
      <items count="4">
        <item x="2"/>
        <item x="1"/>
        <item x="0"/>
        <item t="default"/>
      </items>
    </pivotField>
    <pivotField showAll="0">
      <items count="3">
        <item x="0"/>
        <item x="1"/>
        <item t="default"/>
      </items>
    </pivotField>
    <pivotField showAll="0">
      <items count="7">
        <item x="1"/>
        <item x="4"/>
        <item x="3"/>
        <item x="0"/>
        <item x="2"/>
        <item x="5"/>
        <item t="default"/>
      </items>
    </pivotField>
    <pivotField showAll="0"/>
    <pivotField showAll="0"/>
    <pivotField showAll="0"/>
    <pivotField showAll="0"/>
    <pivotField dataField="1" showAll="0"/>
  </pivotFields>
  <rowFields count="1">
    <field x="2"/>
  </rowFields>
  <rowItems count="4">
    <i>
      <x/>
    </i>
    <i>
      <x v="1"/>
    </i>
    <i>
      <x v="2"/>
    </i>
    <i t="grand">
      <x/>
    </i>
  </rowItems>
  <colItems count="1">
    <i/>
  </colItems>
  <dataFields count="1">
    <dataField name="Sum of Revenue" fld="9" showDataAs="percentOfTotal" baseField="2" baseItem="0" numFmtId="10"/>
  </dataFields>
  <chartFormats count="4">
    <chartFormat chart="7" format="16" series="1">
      <pivotArea type="data" outline="0" fieldPosition="0">
        <references count="1">
          <reference field="4294967294" count="1" selected="0">
            <x v="0"/>
          </reference>
        </references>
      </pivotArea>
    </chartFormat>
    <chartFormat chart="7" format="17">
      <pivotArea type="data" outline="0" fieldPosition="0">
        <references count="2">
          <reference field="4294967294" count="1" selected="0">
            <x v="0"/>
          </reference>
          <reference field="2" count="1" selected="0">
            <x v="0"/>
          </reference>
        </references>
      </pivotArea>
    </chartFormat>
    <chartFormat chart="7" format="18">
      <pivotArea type="data" outline="0" fieldPosition="0">
        <references count="2">
          <reference field="4294967294" count="1" selected="0">
            <x v="0"/>
          </reference>
          <reference field="2" count="1" selected="0">
            <x v="1"/>
          </reference>
        </references>
      </pivotArea>
    </chartFormat>
    <chartFormat chart="7" format="19">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EA0C26D-71F8-4C8B-BF3C-D883D85C11FD}"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5">
  <location ref="A15:B19" firstHeaderRow="1" firstDataRow="1" firstDataCol="1"/>
  <pivotFields count="10">
    <pivotField showAll="0">
      <items count="3">
        <item x="0"/>
        <item x="1"/>
        <item t="default"/>
      </items>
    </pivotField>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1"/>
        <item x="0"/>
        <item t="default"/>
      </items>
    </pivotField>
    <pivotField showAll="0">
      <items count="3">
        <item x="0"/>
        <item x="1"/>
        <item t="default"/>
      </items>
    </pivotField>
    <pivotField showAll="0">
      <items count="7">
        <item x="1"/>
        <item x="4"/>
        <item x="3"/>
        <item x="0"/>
        <item x="2"/>
        <item x="5"/>
        <item t="default"/>
      </items>
    </pivotField>
    <pivotField showAll="0"/>
    <pivotField showAll="0"/>
    <pivotField showAll="0"/>
    <pivotField showAll="0"/>
    <pivotField dataField="1" showAll="0"/>
  </pivotFields>
  <rowFields count="1">
    <field x="1"/>
  </rowFields>
  <rowItems count="4">
    <i>
      <x v="2"/>
    </i>
    <i>
      <x/>
    </i>
    <i>
      <x v="1"/>
    </i>
    <i t="grand">
      <x/>
    </i>
  </rowItems>
  <colItems count="1">
    <i/>
  </colItems>
  <dataFields count="1">
    <dataField name="Sum of Revenue" fld="9" showDataAs="percentOfTotal" baseField="1"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608B828-BC14-44A4-B0E0-C170B5DB850F}"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1">
  <location ref="A39:E47" firstHeaderRow="1" firstDataRow="2" firstDataCol="1"/>
  <pivotFields count="10">
    <pivotField showAll="0">
      <items count="3">
        <item x="0"/>
        <item x="1"/>
        <item t="default"/>
      </items>
    </pivotField>
    <pivotField showAll="0">
      <items count="4">
        <item x="0"/>
        <item x="2"/>
        <item x="1"/>
        <item t="default"/>
      </items>
    </pivotField>
    <pivotField axis="axisCol" showAll="0">
      <items count="4">
        <item x="2"/>
        <item x="1"/>
        <item x="0"/>
        <item t="default"/>
      </items>
    </pivotField>
    <pivotField showAll="0">
      <items count="3">
        <item x="0"/>
        <item x="1"/>
        <item t="default"/>
      </items>
    </pivotField>
    <pivotField axis="axisRow" showAll="0" sortType="ascending">
      <items count="7">
        <item x="1"/>
        <item x="4"/>
        <item x="3"/>
        <item x="0"/>
        <item x="2"/>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s>
  <rowFields count="1">
    <field x="4"/>
  </rowFields>
  <rowItems count="7">
    <i>
      <x v="3"/>
    </i>
    <i>
      <x/>
    </i>
    <i>
      <x v="2"/>
    </i>
    <i>
      <x v="4"/>
    </i>
    <i>
      <x v="5"/>
    </i>
    <i>
      <x v="1"/>
    </i>
    <i t="grand">
      <x/>
    </i>
  </rowItems>
  <colFields count="1">
    <field x="2"/>
  </colFields>
  <colItems count="4">
    <i>
      <x/>
    </i>
    <i>
      <x v="1"/>
    </i>
    <i>
      <x v="2"/>
    </i>
    <i t="grand">
      <x/>
    </i>
  </colItems>
  <dataFields count="1">
    <dataField name="Sum of Revenue" fld="9" baseField="4" baseItem="0" numFmtId="164"/>
  </dataFields>
  <chartFormats count="4">
    <chartFormat chart="40" format="12" series="1">
      <pivotArea type="data" outline="0" fieldPosition="0">
        <references count="2">
          <reference field="4294967294" count="1" selected="0">
            <x v="0"/>
          </reference>
          <reference field="2" count="1" selected="0">
            <x v="0"/>
          </reference>
        </references>
      </pivotArea>
    </chartFormat>
    <chartFormat chart="40" format="13" series="1">
      <pivotArea type="data" outline="0" fieldPosition="0">
        <references count="2">
          <reference field="4294967294" count="1" selected="0">
            <x v="0"/>
          </reference>
          <reference field="2" count="1" selected="0">
            <x v="1"/>
          </reference>
        </references>
      </pivotArea>
    </chartFormat>
    <chartFormat chart="40" format="14" series="1">
      <pivotArea type="data" outline="0" fieldPosition="0">
        <references count="2">
          <reference field="4294967294" count="1" selected="0">
            <x v="0"/>
          </reference>
          <reference field="2" count="1" selected="0">
            <x v="2"/>
          </reference>
        </references>
      </pivotArea>
    </chartFormat>
    <chartFormat chart="40" format="15">
      <pivotArea type="data" outline="0" fieldPosition="0">
        <references count="3">
          <reference field="4294967294" count="1" selected="0">
            <x v="0"/>
          </reference>
          <reference field="2"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0E7AF7E-BBD3-475F-8963-03CD25597F26}"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21:A22" firstHeaderRow="1" firstDataRow="1" firstDataCol="0"/>
  <pivotFields count="10">
    <pivotField showAll="0">
      <items count="3">
        <item x="0"/>
        <item x="1"/>
        <item t="default"/>
      </items>
    </pivotField>
    <pivotField showAll="0"/>
    <pivotField showAll="0">
      <items count="4">
        <item x="2"/>
        <item x="1"/>
        <item x="0"/>
        <item t="default"/>
      </items>
    </pivotField>
    <pivotField showAll="0">
      <items count="3">
        <item x="0"/>
        <item x="1"/>
        <item t="default"/>
      </items>
    </pivotField>
    <pivotField showAll="0">
      <items count="7">
        <item x="1"/>
        <item x="4"/>
        <item x="3"/>
        <item x="0"/>
        <item x="2"/>
        <item x="5"/>
        <item t="default"/>
      </items>
    </pivotField>
    <pivotField showAll="0"/>
    <pivotField showAll="0"/>
    <pivotField showAll="0"/>
    <pivotField showAll="0"/>
    <pivotField dataField="1" showAll="0"/>
  </pivotFields>
  <rowItems count="1">
    <i/>
  </rowItems>
  <colItems count="1">
    <i/>
  </colItems>
  <dataFields count="1">
    <dataField name="Total Revenue"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BA76060-0EE9-4E06-B5EB-1672D7C1B532}"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7">
  <location ref="A59:B66" firstHeaderRow="1" firstDataRow="1" firstDataCol="1"/>
  <pivotFields count="10">
    <pivotField showAll="0">
      <items count="3">
        <item x="0"/>
        <item x="1"/>
        <item t="default"/>
      </items>
    </pivotField>
    <pivotField showAll="0">
      <items count="4">
        <item x="0"/>
        <item x="2"/>
        <item x="1"/>
        <item t="default"/>
      </items>
    </pivotField>
    <pivotField showAll="0">
      <items count="4">
        <item x="2"/>
        <item x="1"/>
        <item x="0"/>
        <item t="default"/>
      </items>
    </pivotField>
    <pivotField showAll="0">
      <items count="3">
        <item x="0"/>
        <item x="1"/>
        <item t="default"/>
      </items>
    </pivotField>
    <pivotField axis="axisRow" showAll="0" sortType="ascending">
      <items count="7">
        <item x="1"/>
        <item x="4"/>
        <item x="3"/>
        <item x="0"/>
        <item x="2"/>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s>
  <rowFields count="1">
    <field x="4"/>
  </rowFields>
  <rowItems count="7">
    <i>
      <x v="3"/>
    </i>
    <i>
      <x/>
    </i>
    <i>
      <x v="2"/>
    </i>
    <i>
      <x v="4"/>
    </i>
    <i>
      <x v="5"/>
    </i>
    <i>
      <x v="1"/>
    </i>
    <i t="grand">
      <x/>
    </i>
  </rowItems>
  <colItems count="1">
    <i/>
  </colItems>
  <dataFields count="1">
    <dataField name="Sum of Revenue" fld="9" baseField="4" baseItem="0" numFmtId="164"/>
  </dataFields>
  <chartFormats count="25">
    <chartFormat chart="6"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27" format="1"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32" format="9" series="1">
      <pivotArea type="data" outline="0" fieldPosition="0">
        <references count="1">
          <reference field="4294967294" count="1" selected="0">
            <x v="0"/>
          </reference>
        </references>
      </pivotArea>
    </chartFormat>
    <chartFormat chart="32" format="10">
      <pivotArea type="data" outline="0" fieldPosition="0">
        <references count="2">
          <reference field="4294967294" count="1" selected="0">
            <x v="0"/>
          </reference>
          <reference field="4" count="1" selected="0">
            <x v="3"/>
          </reference>
        </references>
      </pivotArea>
    </chartFormat>
    <chartFormat chart="32" format="11">
      <pivotArea type="data" outline="0" fieldPosition="0">
        <references count="2">
          <reference field="4294967294" count="1" selected="0">
            <x v="0"/>
          </reference>
          <reference field="4" count="1" selected="0">
            <x v="0"/>
          </reference>
        </references>
      </pivotArea>
    </chartFormat>
    <chartFormat chart="32" format="12">
      <pivotArea type="data" outline="0" fieldPosition="0">
        <references count="2">
          <reference field="4294967294" count="1" selected="0">
            <x v="0"/>
          </reference>
          <reference field="4" count="1" selected="0">
            <x v="2"/>
          </reference>
        </references>
      </pivotArea>
    </chartFormat>
    <chartFormat chart="32" format="13">
      <pivotArea type="data" outline="0" fieldPosition="0">
        <references count="2">
          <reference field="4294967294" count="1" selected="0">
            <x v="0"/>
          </reference>
          <reference field="4" count="1" selected="0">
            <x v="4"/>
          </reference>
        </references>
      </pivotArea>
    </chartFormat>
    <chartFormat chart="32" format="14">
      <pivotArea type="data" outline="0" fieldPosition="0">
        <references count="2">
          <reference field="4294967294" count="1" selected="0">
            <x v="0"/>
          </reference>
          <reference field="4" count="1" selected="0">
            <x v="5"/>
          </reference>
        </references>
      </pivotArea>
    </chartFormat>
    <chartFormat chart="32" format="15">
      <pivotArea type="data" outline="0" fieldPosition="0">
        <references count="2">
          <reference field="4294967294" count="1" selected="0">
            <x v="0"/>
          </reference>
          <reference field="4" count="1" selected="0">
            <x v="1"/>
          </reference>
        </references>
      </pivotArea>
    </chartFormat>
    <chartFormat chart="33" format="16" series="1">
      <pivotArea type="data" outline="0" fieldPosition="0">
        <references count="1">
          <reference field="4294967294" count="1" selected="0">
            <x v="0"/>
          </reference>
        </references>
      </pivotArea>
    </chartFormat>
    <chartFormat chart="33" format="17">
      <pivotArea type="data" outline="0" fieldPosition="0">
        <references count="2">
          <reference field="4294967294" count="1" selected="0">
            <x v="0"/>
          </reference>
          <reference field="4" count="1" selected="0">
            <x v="3"/>
          </reference>
        </references>
      </pivotArea>
    </chartFormat>
    <chartFormat chart="33" format="18">
      <pivotArea type="data" outline="0" fieldPosition="0">
        <references count="2">
          <reference field="4294967294" count="1" selected="0">
            <x v="0"/>
          </reference>
          <reference field="4" count="1" selected="0">
            <x v="0"/>
          </reference>
        </references>
      </pivotArea>
    </chartFormat>
    <chartFormat chart="33" format="19">
      <pivotArea type="data" outline="0" fieldPosition="0">
        <references count="2">
          <reference field="4294967294" count="1" selected="0">
            <x v="0"/>
          </reference>
          <reference field="4" count="1" selected="0">
            <x v="2"/>
          </reference>
        </references>
      </pivotArea>
    </chartFormat>
    <chartFormat chart="33" format="20">
      <pivotArea type="data" outline="0" fieldPosition="0">
        <references count="2">
          <reference field="4294967294" count="1" selected="0">
            <x v="0"/>
          </reference>
          <reference field="4" count="1" selected="0">
            <x v="4"/>
          </reference>
        </references>
      </pivotArea>
    </chartFormat>
    <chartFormat chart="33" format="21">
      <pivotArea type="data" outline="0" fieldPosition="0">
        <references count="2">
          <reference field="4294967294" count="1" selected="0">
            <x v="0"/>
          </reference>
          <reference field="4" count="1" selected="0">
            <x v="5"/>
          </reference>
        </references>
      </pivotArea>
    </chartFormat>
    <chartFormat chart="33" format="22">
      <pivotArea type="data" outline="0" fieldPosition="0">
        <references count="2">
          <reference field="4294967294" count="1" selected="0">
            <x v="0"/>
          </reference>
          <reference field="4" count="1" selected="0">
            <x v="1"/>
          </reference>
        </references>
      </pivotArea>
    </chartFormat>
    <chartFormat chart="34" format="16" series="1">
      <pivotArea type="data" outline="0" fieldPosition="0">
        <references count="1">
          <reference field="4294967294" count="1" selected="0">
            <x v="0"/>
          </reference>
        </references>
      </pivotArea>
    </chartFormat>
    <chartFormat chart="34" format="17">
      <pivotArea type="data" outline="0" fieldPosition="0">
        <references count="2">
          <reference field="4294967294" count="1" selected="0">
            <x v="0"/>
          </reference>
          <reference field="4" count="1" selected="0">
            <x v="3"/>
          </reference>
        </references>
      </pivotArea>
    </chartFormat>
    <chartFormat chart="34" format="18">
      <pivotArea type="data" outline="0" fieldPosition="0">
        <references count="2">
          <reference field="4294967294" count="1" selected="0">
            <x v="0"/>
          </reference>
          <reference field="4" count="1" selected="0">
            <x v="0"/>
          </reference>
        </references>
      </pivotArea>
    </chartFormat>
    <chartFormat chart="34" format="19">
      <pivotArea type="data" outline="0" fieldPosition="0">
        <references count="2">
          <reference field="4294967294" count="1" selected="0">
            <x v="0"/>
          </reference>
          <reference field="4" count="1" selected="0">
            <x v="2"/>
          </reference>
        </references>
      </pivotArea>
    </chartFormat>
    <chartFormat chart="34" format="20">
      <pivotArea type="data" outline="0" fieldPosition="0">
        <references count="2">
          <reference field="4294967294" count="1" selected="0">
            <x v="0"/>
          </reference>
          <reference field="4" count="1" selected="0">
            <x v="4"/>
          </reference>
        </references>
      </pivotArea>
    </chartFormat>
    <chartFormat chart="34" format="21">
      <pivotArea type="data" outline="0" fieldPosition="0">
        <references count="2">
          <reference field="4294967294" count="1" selected="0">
            <x v="0"/>
          </reference>
          <reference field="4" count="1" selected="0">
            <x v="5"/>
          </reference>
        </references>
      </pivotArea>
    </chartFormat>
    <chartFormat chart="34" format="22">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F5AC5B7-97AC-487E-AC3A-CFAFD04E3A95}"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3">
  <location ref="A70:A71" firstHeaderRow="1" firstDataRow="1" firstDataCol="0"/>
  <pivotFields count="10">
    <pivotField showAll="0">
      <items count="3">
        <item x="0"/>
        <item x="1"/>
        <item t="default"/>
      </items>
    </pivotField>
    <pivotField showAll="0">
      <items count="4">
        <item x="0"/>
        <item x="2"/>
        <item x="1"/>
        <item t="default"/>
      </items>
    </pivotField>
    <pivotField showAll="0">
      <items count="4">
        <item x="2"/>
        <item x="1"/>
        <item x="0"/>
        <item t="default"/>
      </items>
    </pivotField>
    <pivotField showAll="0">
      <items count="3">
        <item x="0"/>
        <item x="1"/>
        <item t="default"/>
      </items>
    </pivotField>
    <pivotField showAll="0">
      <items count="7">
        <item x="1"/>
        <item x="4"/>
        <item x="3"/>
        <item x="0"/>
        <item x="2"/>
        <item x="5"/>
        <item t="default"/>
      </items>
    </pivotField>
    <pivotField showAll="0"/>
    <pivotField showAll="0"/>
    <pivotField showAll="0"/>
    <pivotField dataField="1" showAll="0">
      <items count="992">
        <item x="906"/>
        <item x="307"/>
        <item x="101"/>
        <item x="725"/>
        <item x="704"/>
        <item x="128"/>
        <item x="524"/>
        <item x="481"/>
        <item x="713"/>
        <item x="399"/>
        <item x="613"/>
        <item x="33"/>
        <item x="214"/>
        <item x="865"/>
        <item x="918"/>
        <item x="736"/>
        <item x="417"/>
        <item x="224"/>
        <item x="747"/>
        <item x="123"/>
        <item x="729"/>
        <item x="87"/>
        <item x="488"/>
        <item x="459"/>
        <item x="925"/>
        <item x="215"/>
        <item x="112"/>
        <item x="298"/>
        <item x="492"/>
        <item x="416"/>
        <item x="163"/>
        <item x="71"/>
        <item x="804"/>
        <item x="385"/>
        <item x="520"/>
        <item x="313"/>
        <item x="106"/>
        <item x="989"/>
        <item x="245"/>
        <item x="525"/>
        <item x="50"/>
        <item x="511"/>
        <item x="828"/>
        <item x="332"/>
        <item x="857"/>
        <item x="732"/>
        <item x="649"/>
        <item x="362"/>
        <item x="742"/>
        <item x="660"/>
        <item x="216"/>
        <item x="149"/>
        <item x="331"/>
        <item x="936"/>
        <item x="988"/>
        <item x="969"/>
        <item x="121"/>
        <item x="542"/>
        <item x="951"/>
        <item x="842"/>
        <item x="707"/>
        <item x="800"/>
        <item x="288"/>
        <item x="308"/>
        <item x="892"/>
        <item x="678"/>
        <item x="315"/>
        <item x="484"/>
        <item x="209"/>
        <item x="661"/>
        <item x="549"/>
        <item x="954"/>
        <item x="387"/>
        <item x="559"/>
        <item x="253"/>
        <item x="935"/>
        <item x="912"/>
        <item x="382"/>
        <item x="363"/>
        <item x="179"/>
        <item x="374"/>
        <item x="867"/>
        <item x="962"/>
        <item x="600"/>
        <item x="895"/>
        <item x="643"/>
        <item x="388"/>
        <item x="462"/>
        <item x="834"/>
        <item x="931"/>
        <item x="6"/>
        <item x="617"/>
        <item x="825"/>
        <item x="917"/>
        <item x="391"/>
        <item x="495"/>
        <item x="133"/>
        <item x="206"/>
        <item x="146"/>
        <item x="578"/>
        <item x="293"/>
        <item x="475"/>
        <item x="114"/>
        <item x="990"/>
        <item x="110"/>
        <item x="639"/>
        <item x="508"/>
        <item x="971"/>
        <item x="31"/>
        <item x="489"/>
        <item x="16"/>
        <item x="723"/>
        <item x="378"/>
        <item x="706"/>
        <item x="853"/>
        <item x="237"/>
        <item x="759"/>
        <item x="960"/>
        <item x="786"/>
        <item x="143"/>
        <item x="265"/>
        <item x="26"/>
        <item x="324"/>
        <item x="683"/>
        <item x="575"/>
        <item x="284"/>
        <item x="4"/>
        <item x="134"/>
        <item x="928"/>
        <item x="797"/>
        <item x="920"/>
        <item x="679"/>
        <item x="261"/>
        <item x="750"/>
        <item x="602"/>
        <item x="921"/>
        <item x="29"/>
        <item x="86"/>
        <item x="47"/>
        <item x="652"/>
        <item x="688"/>
        <item x="874"/>
        <item x="697"/>
        <item x="772"/>
        <item x="1"/>
        <item x="482"/>
        <item x="700"/>
        <item x="855"/>
        <item x="709"/>
        <item x="456"/>
        <item x="415"/>
        <item x="141"/>
        <item x="188"/>
        <item x="11"/>
        <item x="948"/>
        <item x="264"/>
        <item x="807"/>
        <item x="54"/>
        <item x="326"/>
        <item x="435"/>
        <item x="200"/>
        <item x="793"/>
        <item x="881"/>
        <item x="687"/>
        <item x="730"/>
        <item x="477"/>
        <item x="909"/>
        <item x="873"/>
        <item x="900"/>
        <item x="426"/>
        <item x="80"/>
        <item x="618"/>
        <item x="718"/>
        <item x="19"/>
        <item x="623"/>
        <item x="724"/>
        <item x="605"/>
        <item x="450"/>
        <item x="939"/>
        <item x="409"/>
        <item x="309"/>
        <item x="953"/>
        <item x="752"/>
        <item x="136"/>
        <item x="526"/>
        <item x="609"/>
        <item x="358"/>
        <item x="624"/>
        <item x="631"/>
        <item x="544"/>
        <item x="94"/>
        <item x="911"/>
        <item x="812"/>
        <item x="668"/>
        <item x="303"/>
        <item x="968"/>
        <item x="771"/>
        <item x="896"/>
        <item x="933"/>
        <item x="390"/>
        <item x="860"/>
        <item x="884"/>
        <item x="178"/>
        <item x="412"/>
        <item x="636"/>
        <item x="901"/>
        <item x="406"/>
        <item x="249"/>
        <item x="711"/>
        <item x="433"/>
        <item x="850"/>
        <item x="545"/>
        <item x="438"/>
        <item x="770"/>
        <item x="243"/>
        <item x="335"/>
        <item x="458"/>
        <item x="676"/>
        <item x="227"/>
        <item x="76"/>
        <item x="316"/>
        <item x="977"/>
        <item x="926"/>
        <item x="427"/>
        <item x="38"/>
        <item x="502"/>
        <item x="603"/>
        <item x="708"/>
        <item x="352"/>
        <item x="560"/>
        <item x="342"/>
        <item x="55"/>
        <item x="558"/>
        <item x="364"/>
        <item x="824"/>
        <item x="519"/>
        <item x="779"/>
        <item x="773"/>
        <item x="424"/>
        <item x="522"/>
        <item x="201"/>
        <item x="89"/>
        <item x="656"/>
        <item x="805"/>
        <item x="203"/>
        <item x="986"/>
        <item x="445"/>
        <item x="769"/>
        <item x="197"/>
        <item x="626"/>
        <item x="138"/>
        <item x="764"/>
        <item x="964"/>
        <item x="835"/>
        <item x="240"/>
        <item x="813"/>
        <item x="173"/>
        <item x="701"/>
        <item x="907"/>
        <item x="98"/>
        <item x="349"/>
        <item x="854"/>
        <item x="430"/>
        <item x="761"/>
        <item x="885"/>
        <item x="241"/>
        <item x="803"/>
        <item x="791"/>
        <item x="699"/>
        <item x="319"/>
        <item x="641"/>
        <item x="669"/>
        <item x="336"/>
        <item x="638"/>
        <item x="882"/>
        <item x="67"/>
        <item x="728"/>
        <item x="859"/>
        <item x="777"/>
        <item x="213"/>
        <item x="682"/>
        <item x="160"/>
        <item x="778"/>
        <item x="858"/>
        <item x="365"/>
        <item x="254"/>
        <item x="727"/>
        <item x="898"/>
        <item x="717"/>
        <item x="334"/>
        <item x="444"/>
        <item x="664"/>
        <item x="751"/>
        <item x="792"/>
        <item x="612"/>
        <item x="65"/>
        <item x="318"/>
        <item x="144"/>
        <item x="292"/>
        <item x="208"/>
        <item x="260"/>
        <item x="644"/>
        <item x="941"/>
        <item x="151"/>
        <item x="153"/>
        <item x="360"/>
        <item x="171"/>
        <item x="271"/>
        <item x="681"/>
        <item x="383"/>
        <item x="787"/>
        <item x="674"/>
        <item x="247"/>
        <item x="34"/>
        <item x="844"/>
        <item x="259"/>
        <item x="84"/>
        <item x="219"/>
        <item x="620"/>
        <item x="746"/>
        <item x="766"/>
        <item x="580"/>
        <item x="115"/>
        <item x="46"/>
        <item x="538"/>
        <item x="598"/>
        <item x="774"/>
        <item x="640"/>
        <item x="916"/>
        <item x="801"/>
        <item x="763"/>
        <item x="285"/>
        <item x="823"/>
        <item x="79"/>
        <item x="306"/>
        <item x="479"/>
        <item x="530"/>
        <item x="547"/>
        <item x="591"/>
        <item x="532"/>
        <item x="448"/>
        <item x="978"/>
        <item x="815"/>
        <item x="229"/>
        <item x="59"/>
        <item x="105"/>
        <item x="604"/>
        <item x="142"/>
        <item x="505"/>
        <item x="554"/>
        <item x="5"/>
        <item x="168"/>
        <item x="606"/>
        <item x="231"/>
        <item x="436"/>
        <item x="465"/>
        <item x="861"/>
        <item x="589"/>
        <item x="818"/>
        <item x="864"/>
        <item x="961"/>
        <item x="923"/>
        <item x="287"/>
        <item x="776"/>
        <item x="346"/>
        <item x="100"/>
        <item x="976"/>
        <item x="485"/>
        <item x="509"/>
        <item x="702"/>
        <item x="836"/>
        <item x="930"/>
        <item x="366"/>
        <item x="826"/>
        <item x="102"/>
        <item x="887"/>
        <item x="987"/>
        <item x="414"/>
        <item x="13"/>
        <item x="667"/>
        <item x="202"/>
        <item x="593"/>
        <item x="350"/>
        <item x="353"/>
        <item x="963"/>
        <item x="23"/>
        <item x="655"/>
        <item x="890"/>
        <item x="199"/>
        <item x="684"/>
        <item x="528"/>
        <item x="172"/>
        <item x="947"/>
        <item x="291"/>
        <item x="703"/>
        <item x="744"/>
        <item x="601"/>
        <item x="283"/>
        <item x="108"/>
        <item x="397"/>
        <item x="627"/>
        <item x="246"/>
        <item x="838"/>
        <item x="878"/>
        <item x="794"/>
        <item x="44"/>
        <item x="129"/>
        <item x="913"/>
        <item x="516"/>
        <item x="753"/>
        <item x="692"/>
        <item x="122"/>
        <item x="781"/>
        <item x="323"/>
        <item x="654"/>
        <item x="739"/>
        <item x="238"/>
        <item x="758"/>
        <item x="420"/>
        <item x="322"/>
        <item x="344"/>
        <item x="234"/>
        <item x="675"/>
        <item x="784"/>
        <item x="665"/>
        <item x="193"/>
        <item x="297"/>
        <item x="690"/>
        <item x="659"/>
        <item x="748"/>
        <item x="398"/>
        <item x="337"/>
        <item x="239"/>
        <item x="733"/>
        <item x="822"/>
        <item x="712"/>
        <item x="722"/>
        <item x="673"/>
        <item x="182"/>
        <item x="137"/>
        <item x="407"/>
        <item x="148"/>
        <item x="68"/>
        <item x="795"/>
        <item x="952"/>
        <item x="97"/>
        <item x="91"/>
        <item x="48"/>
        <item x="147"/>
        <item x="461"/>
        <item x="474"/>
        <item x="905"/>
        <item x="552"/>
        <item x="454"/>
        <item x="130"/>
        <item x="431"/>
        <item x="251"/>
        <item x="302"/>
        <item x="286"/>
        <item x="273"/>
        <item x="125"/>
        <item x="327"/>
        <item x="109"/>
        <item x="371"/>
        <item x="880"/>
        <item x="735"/>
        <item x="116"/>
        <item x="25"/>
        <item x="512"/>
        <item x="625"/>
        <item x="451"/>
        <item x="256"/>
        <item x="289"/>
        <item x="196"/>
        <item x="356"/>
        <item x="376"/>
        <item x="768"/>
        <item x="90"/>
        <item x="83"/>
        <item x="980"/>
        <item x="7"/>
        <item x="817"/>
        <item x="904"/>
        <item x="610"/>
        <item x="192"/>
        <item x="979"/>
        <item x="429"/>
        <item x="820"/>
        <item x="658"/>
        <item x="975"/>
        <item x="833"/>
        <item x="518"/>
        <item x="790"/>
        <item x="185"/>
        <item x="393"/>
        <item x="572"/>
        <item x="686"/>
        <item x="972"/>
        <item x="111"/>
        <item x="539"/>
        <item x="392"/>
        <item x="191"/>
        <item x="829"/>
        <item x="847"/>
        <item x="780"/>
        <item x="910"/>
        <item x="628"/>
        <item x="476"/>
        <item x="204"/>
        <item x="693"/>
        <item x="361"/>
        <item x="959"/>
        <item x="367"/>
        <item x="734"/>
        <item x="281"/>
        <item x="956"/>
        <item x="355"/>
        <item x="267"/>
        <item x="929"/>
        <item x="973"/>
        <item x="608"/>
        <item x="135"/>
        <item x="571"/>
        <item x="226"/>
        <item x="595"/>
        <item x="301"/>
        <item x="642"/>
        <item x="507"/>
        <item x="317"/>
        <item x="569"/>
        <item x="510"/>
        <item x="957"/>
        <item x="785"/>
        <item x="914"/>
        <item x="705"/>
        <item x="839"/>
        <item x="565"/>
        <item x="902"/>
        <item x="190"/>
        <item x="615"/>
        <item x="893"/>
        <item x="757"/>
        <item x="599"/>
        <item x="195"/>
        <item x="967"/>
        <item x="470"/>
        <item x="726"/>
        <item x="63"/>
        <item x="73"/>
        <item x="798"/>
        <item x="82"/>
        <item x="806"/>
        <item x="698"/>
        <item x="919"/>
        <item x="139"/>
        <item x="493"/>
        <item x="645"/>
        <item x="442"/>
        <item x="99"/>
        <item x="413"/>
        <item x="93"/>
        <item x="60"/>
        <item x="369"/>
        <item x="325"/>
        <item x="40"/>
        <item x="799"/>
        <item x="970"/>
        <item x="841"/>
        <item x="262"/>
        <item x="330"/>
        <item x="266"/>
        <item x="51"/>
        <item x="621"/>
        <item x="223"/>
        <item x="333"/>
        <item x="310"/>
        <item x="478"/>
        <item x="487"/>
        <item x="453"/>
        <item x="819"/>
        <item x="181"/>
        <item x="483"/>
        <item x="74"/>
        <item x="347"/>
        <item x="942"/>
        <item x="531"/>
        <item x="592"/>
        <item x="49"/>
        <item x="754"/>
        <item x="585"/>
        <item x="597"/>
        <item x="150"/>
        <item x="396"/>
        <item x="282"/>
        <item x="632"/>
        <item x="517"/>
        <item x="446"/>
        <item x="946"/>
        <item x="590"/>
        <item x="218"/>
        <item x="405"/>
        <item x="177"/>
        <item x="491"/>
        <item x="938"/>
        <item x="937"/>
        <item x="579"/>
        <item x="41"/>
        <item x="457"/>
        <item x="230"/>
        <item x="183"/>
        <item x="498"/>
        <item x="402"/>
        <item x="169"/>
        <item x="210"/>
        <item x="294"/>
        <item x="232"/>
        <item x="423"/>
        <item x="696"/>
        <item x="721"/>
        <item x="434"/>
        <item x="651"/>
        <item x="529"/>
        <item x="314"/>
        <item x="175"/>
        <item x="646"/>
        <item x="832"/>
        <item x="740"/>
        <item x="716"/>
        <item x="120"/>
        <item x="274"/>
        <item x="131"/>
        <item x="582"/>
        <item x="198"/>
        <item x="741"/>
        <item x="471"/>
        <item x="78"/>
        <item x="924"/>
        <item x="541"/>
        <item x="152"/>
        <item x="300"/>
        <item x="551"/>
        <item x="587"/>
        <item x="635"/>
        <item x="386"/>
        <item x="320"/>
        <item x="119"/>
        <item x="164"/>
        <item x="463"/>
        <item x="88"/>
        <item x="428"/>
        <item x="760"/>
        <item x="685"/>
        <item x="295"/>
        <item x="357"/>
        <item x="714"/>
        <item x="75"/>
        <item x="877"/>
        <item x="233"/>
        <item x="715"/>
        <item x="922"/>
        <item x="555"/>
        <item x="666"/>
        <item x="165"/>
        <item x="296"/>
        <item x="22"/>
        <item x="672"/>
        <item x="830"/>
        <item x="455"/>
        <item x="467"/>
        <item x="384"/>
        <item x="186"/>
        <item x="252"/>
        <item x="630"/>
        <item x="126"/>
        <item x="379"/>
        <item x="377"/>
        <item x="540"/>
        <item x="162"/>
        <item x="903"/>
        <item x="677"/>
        <item x="845"/>
        <item x="154"/>
        <item x="189"/>
        <item x="695"/>
        <item x="403"/>
        <item x="863"/>
        <item x="872"/>
        <item x="670"/>
        <item x="155"/>
        <item x="965"/>
        <item x="268"/>
        <item x="15"/>
        <item x="581"/>
        <item x="561"/>
        <item x="588"/>
        <item x="401"/>
        <item x="653"/>
        <item x="443"/>
        <item x="710"/>
        <item x="756"/>
        <item x="280"/>
        <item x="950"/>
        <item x="235"/>
        <item x="244"/>
        <item x="891"/>
        <item x="2"/>
        <item x="447"/>
        <item x="20"/>
        <item x="36"/>
        <item x="439"/>
        <item x="634"/>
        <item x="290"/>
        <item x="408"/>
        <item x="174"/>
        <item x="12"/>
        <item x="827"/>
        <item x="944"/>
        <item x="404"/>
        <item x="425"/>
        <item x="788"/>
        <item x="607"/>
        <item x="506"/>
        <item x="737"/>
        <item x="503"/>
        <item x="897"/>
        <item x="616"/>
        <item x="809"/>
        <item x="504"/>
        <item x="341"/>
        <item x="691"/>
        <item x="18"/>
        <item x="810"/>
        <item x="648"/>
        <item x="394"/>
        <item x="537"/>
        <item x="14"/>
        <item x="594"/>
        <item x="783"/>
        <item x="469"/>
        <item x="217"/>
        <item x="329"/>
        <item x="45"/>
        <item x="596"/>
        <item x="57"/>
        <item x="966"/>
        <item x="328"/>
        <item x="35"/>
        <item x="472"/>
        <item x="257"/>
        <item x="883"/>
        <item x="574"/>
        <item x="611"/>
        <item x="170"/>
        <item x="43"/>
        <item x="441"/>
        <item x="440"/>
        <item x="221"/>
        <item x="499"/>
        <item x="72"/>
        <item x="657"/>
        <item x="513"/>
        <item x="637"/>
        <item x="899"/>
        <item x="340"/>
        <item x="381"/>
        <item x="663"/>
        <item x="422"/>
        <item x="10"/>
        <item x="343"/>
        <item x="176"/>
        <item x="856"/>
        <item x="157"/>
        <item x="846"/>
        <item x="184"/>
        <item x="586"/>
        <item x="66"/>
        <item x="269"/>
        <item x="449"/>
        <item x="762"/>
        <item x="276"/>
        <item x="30"/>
        <item x="983"/>
        <item x="548"/>
        <item x="180"/>
        <item x="671"/>
        <item x="255"/>
        <item x="351"/>
        <item x="852"/>
        <item x="228"/>
        <item x="248"/>
        <item x="662"/>
        <item x="104"/>
        <item x="52"/>
        <item x="521"/>
        <item x="373"/>
        <item x="563"/>
        <item x="633"/>
        <item x="339"/>
        <item x="279"/>
        <item x="566"/>
        <item x="622"/>
        <item x="888"/>
        <item x="934"/>
        <item x="187"/>
        <item x="557"/>
        <item x="0"/>
        <item x="270"/>
        <item x="564"/>
        <item x="263"/>
        <item x="743"/>
        <item x="421"/>
        <item x="866"/>
        <item x="932"/>
        <item x="156"/>
        <item x="242"/>
        <item x="258"/>
        <item x="103"/>
        <item x="225"/>
        <item x="17"/>
        <item x="61"/>
        <item x="775"/>
        <item x="468"/>
        <item x="64"/>
        <item x="915"/>
        <item x="278"/>
        <item x="127"/>
        <item x="577"/>
        <item x="837"/>
        <item x="9"/>
        <item x="359"/>
        <item x="876"/>
        <item x="789"/>
        <item x="570"/>
        <item x="889"/>
        <item x="370"/>
        <item x="543"/>
        <item x="567"/>
        <item x="312"/>
        <item x="738"/>
        <item x="42"/>
        <item x="460"/>
        <item x="32"/>
        <item x="869"/>
        <item x="840"/>
        <item x="811"/>
        <item x="277"/>
        <item x="419"/>
        <item x="39"/>
        <item x="796"/>
        <item x="501"/>
        <item x="124"/>
        <item x="650"/>
        <item x="945"/>
        <item x="955"/>
        <item x="92"/>
        <item x="380"/>
        <item x="985"/>
        <item x="745"/>
        <item x="500"/>
        <item x="749"/>
        <item x="974"/>
        <item x="497"/>
        <item x="535"/>
        <item x="400"/>
        <item x="619"/>
        <item x="848"/>
        <item x="338"/>
        <item x="250"/>
        <item x="843"/>
        <item x="523"/>
        <item x="816"/>
        <item x="689"/>
        <item x="77"/>
        <item x="894"/>
        <item x="410"/>
        <item x="908"/>
        <item x="875"/>
        <item x="58"/>
        <item x="418"/>
        <item x="473"/>
        <item x="304"/>
        <item x="132"/>
        <item x="821"/>
        <item x="694"/>
        <item x="719"/>
        <item x="515"/>
        <item x="536"/>
        <item x="808"/>
        <item x="982"/>
        <item x="113"/>
        <item x="395"/>
        <item x="194"/>
        <item x="70"/>
        <item x="680"/>
        <item x="27"/>
        <item x="117"/>
        <item x="767"/>
        <item x="220"/>
        <item x="755"/>
        <item x="862"/>
        <item x="348"/>
        <item x="236"/>
        <item x="981"/>
        <item x="158"/>
        <item x="514"/>
        <item x="550"/>
        <item x="211"/>
        <item x="311"/>
        <item x="647"/>
        <item x="140"/>
        <item x="8"/>
        <item x="159"/>
        <item x="527"/>
        <item x="432"/>
        <item x="879"/>
        <item x="28"/>
        <item x="851"/>
        <item x="927"/>
        <item x="53"/>
        <item x="831"/>
        <item x="222"/>
        <item x="870"/>
        <item x="437"/>
        <item x="3"/>
        <item x="411"/>
        <item x="466"/>
        <item x="452"/>
        <item x="118"/>
        <item x="573"/>
        <item x="629"/>
        <item x="167"/>
        <item x="81"/>
        <item x="107"/>
        <item x="614"/>
        <item x="375"/>
        <item x="494"/>
        <item x="940"/>
        <item x="372"/>
        <item x="802"/>
        <item x="368"/>
        <item x="145"/>
        <item x="37"/>
        <item x="533"/>
        <item x="21"/>
        <item x="85"/>
        <item x="886"/>
        <item x="943"/>
        <item x="731"/>
        <item x="464"/>
        <item x="345"/>
        <item x="56"/>
        <item x="212"/>
        <item x="275"/>
        <item x="62"/>
        <item x="354"/>
        <item x="868"/>
        <item x="556"/>
        <item x="984"/>
        <item x="814"/>
        <item x="24"/>
        <item x="305"/>
        <item x="96"/>
        <item x="871"/>
        <item x="949"/>
        <item x="486"/>
        <item x="321"/>
        <item x="576"/>
        <item x="490"/>
        <item x="546"/>
        <item x="765"/>
        <item x="553"/>
        <item x="480"/>
        <item x="299"/>
        <item x="782"/>
        <item x="720"/>
        <item x="534"/>
        <item x="95"/>
        <item x="69"/>
        <item x="958"/>
        <item x="562"/>
        <item x="568"/>
        <item x="207"/>
        <item x="166"/>
        <item x="583"/>
        <item x="205"/>
        <item x="389"/>
        <item x="496"/>
        <item x="849"/>
        <item x="272"/>
        <item x="584"/>
        <item x="161"/>
        <item t="default"/>
      </items>
    </pivotField>
    <pivotField showAll="0">
      <items count="992">
        <item x="906"/>
        <item x="307"/>
        <item x="918"/>
        <item x="736"/>
        <item x="524"/>
        <item x="417"/>
        <item x="224"/>
        <item x="747"/>
        <item x="123"/>
        <item x="729"/>
        <item x="87"/>
        <item x="399"/>
        <item x="488"/>
        <item x="459"/>
        <item x="925"/>
        <item x="33"/>
        <item x="215"/>
        <item x="214"/>
        <item x="112"/>
        <item x="298"/>
        <item x="492"/>
        <item x="416"/>
        <item x="163"/>
        <item x="71"/>
        <item x="804"/>
        <item x="385"/>
        <item x="520"/>
        <item x="313"/>
        <item x="106"/>
        <item x="989"/>
        <item x="245"/>
        <item x="525"/>
        <item x="50"/>
        <item x="511"/>
        <item x="828"/>
        <item x="332"/>
        <item x="857"/>
        <item x="732"/>
        <item x="649"/>
        <item x="362"/>
        <item x="742"/>
        <item x="660"/>
        <item x="216"/>
        <item x="149"/>
        <item x="331"/>
        <item x="936"/>
        <item x="988"/>
        <item x="969"/>
        <item x="121"/>
        <item x="542"/>
        <item x="951"/>
        <item x="842"/>
        <item x="707"/>
        <item x="800"/>
        <item x="288"/>
        <item x="308"/>
        <item x="892"/>
        <item x="678"/>
        <item x="315"/>
        <item x="484"/>
        <item x="209"/>
        <item x="661"/>
        <item x="549"/>
        <item x="954"/>
        <item x="387"/>
        <item x="559"/>
        <item x="253"/>
        <item x="935"/>
        <item x="912"/>
        <item x="382"/>
        <item x="363"/>
        <item x="179"/>
        <item x="374"/>
        <item x="867"/>
        <item x="962"/>
        <item x="600"/>
        <item x="895"/>
        <item x="643"/>
        <item x="388"/>
        <item x="462"/>
        <item x="834"/>
        <item x="931"/>
        <item x="6"/>
        <item x="617"/>
        <item x="825"/>
        <item x="917"/>
        <item x="391"/>
        <item x="495"/>
        <item x="133"/>
        <item x="206"/>
        <item x="146"/>
        <item x="578"/>
        <item x="293"/>
        <item x="475"/>
        <item x="114"/>
        <item x="990"/>
        <item x="110"/>
        <item x="639"/>
        <item x="508"/>
        <item x="971"/>
        <item x="31"/>
        <item x="489"/>
        <item x="16"/>
        <item x="723"/>
        <item x="378"/>
        <item x="706"/>
        <item x="853"/>
        <item x="237"/>
        <item x="759"/>
        <item x="960"/>
        <item x="786"/>
        <item x="143"/>
        <item x="265"/>
        <item x="26"/>
        <item x="324"/>
        <item x="683"/>
        <item x="575"/>
        <item x="284"/>
        <item x="4"/>
        <item x="134"/>
        <item x="928"/>
        <item x="797"/>
        <item x="920"/>
        <item x="679"/>
        <item x="261"/>
        <item x="750"/>
        <item x="602"/>
        <item x="921"/>
        <item x="29"/>
        <item x="86"/>
        <item x="47"/>
        <item x="652"/>
        <item x="688"/>
        <item x="874"/>
        <item x="697"/>
        <item x="772"/>
        <item x="1"/>
        <item x="482"/>
        <item x="700"/>
        <item x="855"/>
        <item x="709"/>
        <item x="456"/>
        <item x="415"/>
        <item x="141"/>
        <item x="188"/>
        <item x="11"/>
        <item x="948"/>
        <item x="264"/>
        <item x="807"/>
        <item x="54"/>
        <item x="326"/>
        <item x="435"/>
        <item x="200"/>
        <item x="793"/>
        <item x="881"/>
        <item x="687"/>
        <item x="730"/>
        <item x="477"/>
        <item x="909"/>
        <item x="873"/>
        <item x="900"/>
        <item x="426"/>
        <item x="80"/>
        <item x="618"/>
        <item x="718"/>
        <item x="19"/>
        <item x="623"/>
        <item x="724"/>
        <item x="605"/>
        <item x="450"/>
        <item x="939"/>
        <item x="409"/>
        <item x="309"/>
        <item x="953"/>
        <item x="752"/>
        <item x="136"/>
        <item x="526"/>
        <item x="609"/>
        <item x="358"/>
        <item x="624"/>
        <item x="631"/>
        <item x="544"/>
        <item x="94"/>
        <item x="911"/>
        <item x="812"/>
        <item x="668"/>
        <item x="303"/>
        <item x="968"/>
        <item x="771"/>
        <item x="896"/>
        <item x="933"/>
        <item x="390"/>
        <item x="860"/>
        <item x="884"/>
        <item x="178"/>
        <item x="412"/>
        <item x="636"/>
        <item x="901"/>
        <item x="406"/>
        <item x="249"/>
        <item x="711"/>
        <item x="433"/>
        <item x="850"/>
        <item x="545"/>
        <item x="438"/>
        <item x="770"/>
        <item x="243"/>
        <item x="335"/>
        <item x="458"/>
        <item x="676"/>
        <item x="227"/>
        <item x="76"/>
        <item x="316"/>
        <item x="977"/>
        <item x="926"/>
        <item x="427"/>
        <item x="38"/>
        <item x="502"/>
        <item x="603"/>
        <item x="708"/>
        <item x="352"/>
        <item x="560"/>
        <item x="342"/>
        <item x="55"/>
        <item x="558"/>
        <item x="364"/>
        <item x="824"/>
        <item x="519"/>
        <item x="779"/>
        <item x="773"/>
        <item x="424"/>
        <item x="522"/>
        <item x="201"/>
        <item x="89"/>
        <item x="656"/>
        <item x="805"/>
        <item x="203"/>
        <item x="986"/>
        <item x="445"/>
        <item x="769"/>
        <item x="197"/>
        <item x="626"/>
        <item x="138"/>
        <item x="764"/>
        <item x="964"/>
        <item x="835"/>
        <item x="240"/>
        <item x="813"/>
        <item x="173"/>
        <item x="701"/>
        <item x="907"/>
        <item x="98"/>
        <item x="349"/>
        <item x="854"/>
        <item x="430"/>
        <item x="761"/>
        <item x="885"/>
        <item x="241"/>
        <item x="803"/>
        <item x="791"/>
        <item x="699"/>
        <item x="319"/>
        <item x="641"/>
        <item x="669"/>
        <item x="336"/>
        <item x="638"/>
        <item x="882"/>
        <item x="67"/>
        <item x="728"/>
        <item x="859"/>
        <item x="777"/>
        <item x="213"/>
        <item x="682"/>
        <item x="160"/>
        <item x="778"/>
        <item x="858"/>
        <item x="365"/>
        <item x="254"/>
        <item x="727"/>
        <item x="898"/>
        <item x="717"/>
        <item x="334"/>
        <item x="444"/>
        <item x="664"/>
        <item x="751"/>
        <item x="792"/>
        <item x="612"/>
        <item x="65"/>
        <item x="318"/>
        <item x="144"/>
        <item x="292"/>
        <item x="208"/>
        <item x="260"/>
        <item x="644"/>
        <item x="941"/>
        <item x="151"/>
        <item x="153"/>
        <item x="360"/>
        <item x="171"/>
        <item x="271"/>
        <item x="681"/>
        <item x="383"/>
        <item x="787"/>
        <item x="674"/>
        <item x="247"/>
        <item x="34"/>
        <item x="844"/>
        <item x="259"/>
        <item x="84"/>
        <item x="219"/>
        <item x="620"/>
        <item x="746"/>
        <item x="766"/>
        <item x="580"/>
        <item x="115"/>
        <item x="46"/>
        <item x="538"/>
        <item x="598"/>
        <item x="774"/>
        <item x="640"/>
        <item x="916"/>
        <item x="801"/>
        <item x="763"/>
        <item x="285"/>
        <item x="823"/>
        <item x="79"/>
        <item x="306"/>
        <item x="479"/>
        <item x="530"/>
        <item x="547"/>
        <item x="591"/>
        <item x="532"/>
        <item x="448"/>
        <item x="978"/>
        <item x="815"/>
        <item x="229"/>
        <item x="59"/>
        <item x="105"/>
        <item x="604"/>
        <item x="142"/>
        <item x="505"/>
        <item x="554"/>
        <item x="5"/>
        <item x="168"/>
        <item x="606"/>
        <item x="231"/>
        <item x="436"/>
        <item x="465"/>
        <item x="861"/>
        <item x="589"/>
        <item x="818"/>
        <item x="864"/>
        <item x="961"/>
        <item x="923"/>
        <item x="287"/>
        <item x="776"/>
        <item x="346"/>
        <item x="100"/>
        <item x="976"/>
        <item x="485"/>
        <item x="509"/>
        <item x="702"/>
        <item x="836"/>
        <item x="930"/>
        <item x="366"/>
        <item x="826"/>
        <item x="102"/>
        <item x="887"/>
        <item x="987"/>
        <item x="414"/>
        <item x="13"/>
        <item x="667"/>
        <item x="202"/>
        <item x="593"/>
        <item x="350"/>
        <item x="353"/>
        <item x="963"/>
        <item x="23"/>
        <item x="655"/>
        <item x="890"/>
        <item x="199"/>
        <item x="684"/>
        <item x="528"/>
        <item x="172"/>
        <item x="947"/>
        <item x="291"/>
        <item x="703"/>
        <item x="744"/>
        <item x="601"/>
        <item x="283"/>
        <item x="108"/>
        <item x="397"/>
        <item x="627"/>
        <item x="246"/>
        <item x="838"/>
        <item x="878"/>
        <item x="794"/>
        <item x="44"/>
        <item x="129"/>
        <item x="913"/>
        <item x="516"/>
        <item x="753"/>
        <item x="692"/>
        <item x="122"/>
        <item x="781"/>
        <item x="323"/>
        <item x="654"/>
        <item x="739"/>
        <item x="238"/>
        <item x="758"/>
        <item x="420"/>
        <item x="322"/>
        <item x="344"/>
        <item x="234"/>
        <item x="675"/>
        <item x="784"/>
        <item x="665"/>
        <item x="193"/>
        <item x="297"/>
        <item x="690"/>
        <item x="659"/>
        <item x="748"/>
        <item x="398"/>
        <item x="337"/>
        <item x="239"/>
        <item x="733"/>
        <item x="822"/>
        <item x="712"/>
        <item x="722"/>
        <item x="673"/>
        <item x="182"/>
        <item x="137"/>
        <item x="407"/>
        <item x="148"/>
        <item x="68"/>
        <item x="795"/>
        <item x="952"/>
        <item x="97"/>
        <item x="91"/>
        <item x="48"/>
        <item x="147"/>
        <item x="461"/>
        <item x="474"/>
        <item x="905"/>
        <item x="552"/>
        <item x="454"/>
        <item x="130"/>
        <item x="431"/>
        <item x="251"/>
        <item x="302"/>
        <item x="286"/>
        <item x="273"/>
        <item x="125"/>
        <item x="327"/>
        <item x="109"/>
        <item x="371"/>
        <item x="880"/>
        <item x="735"/>
        <item x="116"/>
        <item x="25"/>
        <item x="512"/>
        <item x="625"/>
        <item x="451"/>
        <item x="256"/>
        <item x="289"/>
        <item x="196"/>
        <item x="356"/>
        <item x="376"/>
        <item x="768"/>
        <item x="90"/>
        <item x="83"/>
        <item x="980"/>
        <item x="7"/>
        <item x="817"/>
        <item x="904"/>
        <item x="610"/>
        <item x="192"/>
        <item x="979"/>
        <item x="429"/>
        <item x="820"/>
        <item x="658"/>
        <item x="975"/>
        <item x="833"/>
        <item x="518"/>
        <item x="790"/>
        <item x="185"/>
        <item x="393"/>
        <item x="572"/>
        <item x="686"/>
        <item x="972"/>
        <item x="111"/>
        <item x="539"/>
        <item x="392"/>
        <item x="191"/>
        <item x="829"/>
        <item x="847"/>
        <item x="780"/>
        <item x="910"/>
        <item x="628"/>
        <item x="476"/>
        <item x="204"/>
        <item x="693"/>
        <item x="361"/>
        <item x="959"/>
        <item x="367"/>
        <item x="734"/>
        <item x="281"/>
        <item x="956"/>
        <item x="355"/>
        <item x="267"/>
        <item x="929"/>
        <item x="973"/>
        <item x="608"/>
        <item x="135"/>
        <item x="571"/>
        <item x="595"/>
        <item x="301"/>
        <item x="642"/>
        <item x="507"/>
        <item x="569"/>
        <item x="957"/>
        <item x="785"/>
        <item x="914"/>
        <item x="705"/>
        <item x="839"/>
        <item x="565"/>
        <item x="902"/>
        <item x="615"/>
        <item x="893"/>
        <item x="757"/>
        <item x="599"/>
        <item x="195"/>
        <item x="967"/>
        <item x="726"/>
        <item x="63"/>
        <item x="73"/>
        <item x="798"/>
        <item x="82"/>
        <item x="806"/>
        <item x="698"/>
        <item x="919"/>
        <item x="493"/>
        <item x="645"/>
        <item x="442"/>
        <item x="99"/>
        <item x="93"/>
        <item x="369"/>
        <item x="325"/>
        <item x="40"/>
        <item x="799"/>
        <item x="970"/>
        <item x="841"/>
        <item x="262"/>
        <item x="330"/>
        <item x="266"/>
        <item x="621"/>
        <item x="223"/>
        <item x="333"/>
        <item x="487"/>
        <item x="453"/>
        <item x="819"/>
        <item x="181"/>
        <item x="483"/>
        <item x="74"/>
        <item x="347"/>
        <item x="942"/>
        <item x="531"/>
        <item x="592"/>
        <item x="49"/>
        <item x="585"/>
        <item x="597"/>
        <item x="396"/>
        <item x="282"/>
        <item x="632"/>
        <item x="517"/>
        <item x="446"/>
        <item x="946"/>
        <item x="590"/>
        <item x="405"/>
        <item x="177"/>
        <item x="938"/>
        <item x="937"/>
        <item x="41"/>
        <item x="230"/>
        <item x="183"/>
        <item x="169"/>
        <item x="210"/>
        <item x="294"/>
        <item x="232"/>
        <item x="696"/>
        <item x="721"/>
        <item x="434"/>
        <item x="651"/>
        <item x="529"/>
        <item x="314"/>
        <item x="832"/>
        <item x="740"/>
        <item x="274"/>
        <item x="582"/>
        <item x="198"/>
        <item x="741"/>
        <item x="471"/>
        <item x="78"/>
        <item x="924"/>
        <item x="541"/>
        <item x="152"/>
        <item x="300"/>
        <item x="551"/>
        <item x="635"/>
        <item x="386"/>
        <item x="320"/>
        <item x="119"/>
        <item x="164"/>
        <item x="463"/>
        <item x="760"/>
        <item x="357"/>
        <item x="75"/>
        <item x="877"/>
        <item x="233"/>
        <item x="226"/>
        <item x="555"/>
        <item x="165"/>
        <item x="22"/>
        <item x="672"/>
        <item x="317"/>
        <item x="830"/>
        <item x="455"/>
        <item x="467"/>
        <item x="384"/>
        <item x="186"/>
        <item x="510"/>
        <item x="252"/>
        <item x="630"/>
        <item x="126"/>
        <item x="379"/>
        <item x="377"/>
        <item x="540"/>
        <item x="903"/>
        <item x="677"/>
        <item x="845"/>
        <item x="154"/>
        <item x="189"/>
        <item x="190"/>
        <item x="695"/>
        <item x="403"/>
        <item x="863"/>
        <item x="670"/>
        <item x="470"/>
        <item x="965"/>
        <item x="268"/>
        <item x="15"/>
        <item x="581"/>
        <item x="561"/>
        <item x="139"/>
        <item x="401"/>
        <item x="653"/>
        <item x="443"/>
        <item x="413"/>
        <item x="710"/>
        <item x="60"/>
        <item x="280"/>
        <item x="950"/>
        <item x="235"/>
        <item x="244"/>
        <item x="2"/>
        <item x="447"/>
        <item x="20"/>
        <item x="36"/>
        <item x="439"/>
        <item x="290"/>
        <item x="408"/>
        <item x="174"/>
        <item x="12"/>
        <item x="51"/>
        <item x="827"/>
        <item x="310"/>
        <item x="944"/>
        <item x="404"/>
        <item x="478"/>
        <item x="506"/>
        <item x="737"/>
        <item x="503"/>
        <item x="616"/>
        <item x="809"/>
        <item x="504"/>
        <item x="754"/>
        <item x="691"/>
        <item x="18"/>
        <item x="648"/>
        <item x="394"/>
        <item x="150"/>
        <item x="537"/>
        <item x="14"/>
        <item x="594"/>
        <item x="783"/>
        <item x="469"/>
        <item x="217"/>
        <item x="329"/>
        <item x="45"/>
        <item x="596"/>
        <item x="57"/>
        <item x="218"/>
        <item x="328"/>
        <item x="491"/>
        <item x="35"/>
        <item x="472"/>
        <item x="579"/>
        <item x="457"/>
        <item x="611"/>
        <item x="170"/>
        <item x="43"/>
        <item x="440"/>
        <item x="498"/>
        <item x="402"/>
        <item x="221"/>
        <item x="499"/>
        <item x="72"/>
        <item x="423"/>
        <item x="657"/>
        <item x="637"/>
        <item x="340"/>
        <item x="175"/>
        <item x="663"/>
        <item x="646"/>
        <item x="716"/>
        <item x="120"/>
        <item x="343"/>
        <item x="176"/>
        <item x="856"/>
        <item x="131"/>
        <item x="846"/>
        <item x="586"/>
        <item x="66"/>
        <item x="449"/>
        <item x="762"/>
        <item x="276"/>
        <item x="983"/>
        <item x="548"/>
        <item x="671"/>
        <item x="255"/>
        <item x="587"/>
        <item x="351"/>
        <item x="228"/>
        <item x="248"/>
        <item x="662"/>
        <item x="104"/>
        <item x="52"/>
        <item x="88"/>
        <item x="428"/>
        <item x="373"/>
        <item x="563"/>
        <item x="633"/>
        <item x="339"/>
        <item x="685"/>
        <item x="279"/>
        <item x="295"/>
        <item x="566"/>
        <item x="622"/>
        <item x="888"/>
        <item x="934"/>
        <item x="714"/>
        <item x="187"/>
        <item x="270"/>
        <item x="564"/>
        <item x="263"/>
        <item x="743"/>
        <item x="421"/>
        <item x="866"/>
        <item x="715"/>
        <item x="922"/>
        <item x="666"/>
        <item x="932"/>
        <item x="296"/>
        <item x="156"/>
        <item x="242"/>
        <item x="258"/>
        <item x="103"/>
        <item x="225"/>
        <item x="162"/>
        <item x="17"/>
        <item x="61"/>
        <item x="64"/>
        <item x="872"/>
        <item x="915"/>
        <item x="278"/>
        <item x="127"/>
        <item x="155"/>
        <item x="577"/>
        <item x="837"/>
        <item x="9"/>
        <item x="359"/>
        <item x="588"/>
        <item x="570"/>
        <item x="889"/>
        <item x="370"/>
        <item x="543"/>
        <item x="567"/>
        <item x="312"/>
        <item x="738"/>
        <item x="42"/>
        <item x="460"/>
        <item x="756"/>
        <item x="32"/>
        <item x="869"/>
        <item x="891"/>
        <item x="840"/>
        <item x="811"/>
        <item x="277"/>
        <item x="419"/>
        <item x="39"/>
        <item x="796"/>
        <item x="124"/>
        <item x="634"/>
        <item x="650"/>
        <item x="945"/>
        <item x="955"/>
        <item x="985"/>
        <item x="745"/>
        <item x="749"/>
        <item x="101"/>
        <item x="974"/>
        <item x="425"/>
        <item x="788"/>
        <item x="607"/>
        <item x="497"/>
        <item x="897"/>
        <item x="725"/>
        <item x="535"/>
        <item x="400"/>
        <item x="341"/>
        <item x="848"/>
        <item x="810"/>
        <item x="250"/>
        <item x="843"/>
        <item x="523"/>
        <item x="816"/>
        <item x="689"/>
        <item x="77"/>
        <item x="894"/>
        <item x="966"/>
        <item x="908"/>
        <item x="875"/>
        <item x="257"/>
        <item x="883"/>
        <item x="418"/>
        <item x="473"/>
        <item x="574"/>
        <item x="441"/>
        <item x="132"/>
        <item x="821"/>
        <item x="719"/>
        <item x="515"/>
        <item x="513"/>
        <item x="899"/>
        <item x="808"/>
        <item x="113"/>
        <item x="704"/>
        <item x="381"/>
        <item x="422"/>
        <item x="70"/>
        <item x="680"/>
        <item x="27"/>
        <item x="117"/>
        <item x="10"/>
        <item x="157"/>
        <item x="767"/>
        <item x="184"/>
        <item x="220"/>
        <item x="862"/>
        <item x="269"/>
        <item x="236"/>
        <item x="981"/>
        <item x="211"/>
        <item x="30"/>
        <item x="311"/>
        <item x="647"/>
        <item x="140"/>
        <item x="180"/>
        <item x="8"/>
        <item x="159"/>
        <item x="527"/>
        <item x="852"/>
        <item x="432"/>
        <item x="879"/>
        <item x="28"/>
        <item x="927"/>
        <item x="831"/>
        <item x="521"/>
        <item x="222"/>
        <item x="870"/>
        <item x="437"/>
        <item x="3"/>
        <item x="411"/>
        <item x="466"/>
        <item x="452"/>
        <item x="128"/>
        <item x="118"/>
        <item x="557"/>
        <item x="0"/>
        <item x="573"/>
        <item x="629"/>
        <item x="481"/>
        <item x="167"/>
        <item x="81"/>
        <item x="614"/>
        <item x="375"/>
        <item x="494"/>
        <item x="940"/>
        <item x="372"/>
        <item x="802"/>
        <item x="368"/>
        <item x="145"/>
        <item x="37"/>
        <item x="775"/>
        <item x="533"/>
        <item x="468"/>
        <item x="21"/>
        <item x="85"/>
        <item x="713"/>
        <item x="943"/>
        <item x="731"/>
        <item x="56"/>
        <item x="275"/>
        <item x="876"/>
        <item x="62"/>
        <item x="789"/>
        <item x="868"/>
        <item x="556"/>
        <item x="984"/>
        <item x="814"/>
        <item x="24"/>
        <item x="305"/>
        <item x="96"/>
        <item x="871"/>
        <item x="949"/>
        <item x="486"/>
        <item x="501"/>
        <item x="92"/>
        <item x="380"/>
        <item x="500"/>
        <item x="321"/>
        <item x="576"/>
        <item x="490"/>
        <item x="546"/>
        <item x="553"/>
        <item x="613"/>
        <item x="480"/>
        <item x="619"/>
        <item x="782"/>
        <item x="720"/>
        <item x="534"/>
        <item x="69"/>
        <item x="958"/>
        <item x="562"/>
        <item x="338"/>
        <item x="568"/>
        <item x="207"/>
        <item x="410"/>
        <item x="58"/>
        <item x="304"/>
        <item x="166"/>
        <item x="694"/>
        <item x="583"/>
        <item x="865"/>
        <item x="536"/>
        <item x="982"/>
        <item x="395"/>
        <item x="205"/>
        <item x="389"/>
        <item x="496"/>
        <item x="849"/>
        <item x="194"/>
        <item x="272"/>
        <item x="584"/>
        <item x="161"/>
        <item x="755"/>
        <item x="348"/>
        <item x="158"/>
        <item x="514"/>
        <item x="550"/>
        <item x="851"/>
        <item x="53"/>
        <item x="107"/>
        <item x="886"/>
        <item x="464"/>
        <item x="345"/>
        <item x="212"/>
        <item x="354"/>
        <item x="765"/>
        <item x="299"/>
        <item x="95"/>
        <item t="default"/>
      </items>
    </pivotField>
  </pivotFields>
  <rowItems count="1">
    <i/>
  </rowItems>
  <colItems count="1">
    <i/>
  </colItems>
  <dataFields count="1">
    <dataField name="Total Sales" fld="8"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EEEC367-BA24-4B62-9EFA-4EB3187860D4}"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4">
  <location ref="A3:B6" firstHeaderRow="1" firstDataRow="1" firstDataCol="1"/>
  <pivotFields count="10">
    <pivotField axis="axisRow" showAll="0">
      <items count="3">
        <item x="0"/>
        <item x="1"/>
        <item t="default"/>
      </items>
    </pivotField>
    <pivotField showAll="0"/>
    <pivotField showAll="0">
      <items count="4">
        <item x="2"/>
        <item x="1"/>
        <item x="0"/>
        <item t="default"/>
      </items>
    </pivotField>
    <pivotField showAll="0">
      <items count="3">
        <item x="0"/>
        <item x="1"/>
        <item t="default"/>
      </items>
    </pivotField>
    <pivotField showAll="0">
      <items count="7">
        <item x="1"/>
        <item x="4"/>
        <item x="3"/>
        <item x="0"/>
        <item x="2"/>
        <item x="5"/>
        <item t="default"/>
      </items>
    </pivotField>
    <pivotField showAll="0"/>
    <pivotField showAll="0"/>
    <pivotField showAll="0"/>
    <pivotField showAll="0">
      <items count="992">
        <item h="1" x="906"/>
        <item h="1" x="307"/>
        <item x="101"/>
        <item h="1" x="725"/>
        <item h="1" x="704"/>
        <item h="1" x="128"/>
        <item h="1" x="524"/>
        <item h="1" x="481"/>
        <item h="1" x="713"/>
        <item h="1" x="399"/>
        <item h="1" x="613"/>
        <item h="1" x="33"/>
        <item h="1" x="214"/>
        <item h="1" x="865"/>
        <item h="1" x="918"/>
        <item h="1" x="736"/>
        <item h="1" x="417"/>
        <item h="1" x="224"/>
        <item h="1" x="747"/>
        <item h="1" x="123"/>
        <item h="1" x="729"/>
        <item h="1" x="87"/>
        <item h="1" x="488"/>
        <item h="1" x="459"/>
        <item h="1" x="925"/>
        <item h="1" x="215"/>
        <item h="1" x="112"/>
        <item h="1" x="298"/>
        <item h="1" x="492"/>
        <item h="1" x="416"/>
        <item h="1" x="163"/>
        <item h="1" x="71"/>
        <item h="1" x="804"/>
        <item h="1" x="385"/>
        <item h="1" x="520"/>
        <item h="1" x="313"/>
        <item h="1" x="106"/>
        <item h="1" x="989"/>
        <item h="1" x="245"/>
        <item h="1" x="525"/>
        <item h="1" x="50"/>
        <item h="1" x="511"/>
        <item h="1" x="828"/>
        <item h="1" x="332"/>
        <item h="1" x="857"/>
        <item h="1" x="732"/>
        <item h="1" x="649"/>
        <item h="1" x="362"/>
        <item h="1" x="742"/>
        <item h="1" x="660"/>
        <item h="1" x="216"/>
        <item h="1" x="149"/>
        <item h="1" x="331"/>
        <item h="1" x="936"/>
        <item h="1" x="988"/>
        <item h="1" x="969"/>
        <item h="1" x="121"/>
        <item h="1" x="542"/>
        <item h="1" x="951"/>
        <item h="1" x="842"/>
        <item h="1" x="707"/>
        <item h="1" x="800"/>
        <item h="1" x="288"/>
        <item h="1" x="308"/>
        <item h="1" x="892"/>
        <item h="1" x="678"/>
        <item h="1" x="315"/>
        <item h="1" x="484"/>
        <item h="1" x="209"/>
        <item h="1" x="661"/>
        <item h="1" x="549"/>
        <item h="1" x="954"/>
        <item h="1" x="387"/>
        <item h="1" x="559"/>
        <item h="1" x="253"/>
        <item h="1" x="935"/>
        <item h="1" x="912"/>
        <item h="1" x="382"/>
        <item h="1" x="363"/>
        <item h="1" x="179"/>
        <item h="1" x="374"/>
        <item h="1" x="867"/>
        <item h="1" x="962"/>
        <item h="1" x="600"/>
        <item h="1" x="895"/>
        <item h="1" x="643"/>
        <item h="1" x="388"/>
        <item h="1" x="462"/>
        <item h="1" x="834"/>
        <item h="1" x="931"/>
        <item h="1" x="6"/>
        <item h="1" x="617"/>
        <item h="1" x="825"/>
        <item h="1" x="917"/>
        <item h="1" x="391"/>
        <item h="1" x="495"/>
        <item h="1" x="133"/>
        <item h="1" x="206"/>
        <item h="1" x="146"/>
        <item h="1" x="578"/>
        <item h="1" x="293"/>
        <item h="1" x="475"/>
        <item h="1" x="114"/>
        <item h="1" x="990"/>
        <item h="1" x="110"/>
        <item h="1" x="639"/>
        <item h="1" x="508"/>
        <item h="1" x="971"/>
        <item h="1" x="31"/>
        <item h="1" x="489"/>
        <item h="1" x="16"/>
        <item h="1" x="723"/>
        <item h="1" x="378"/>
        <item h="1" x="706"/>
        <item h="1" x="853"/>
        <item h="1" x="237"/>
        <item h="1" x="759"/>
        <item h="1" x="960"/>
        <item h="1" x="786"/>
        <item h="1" x="143"/>
        <item h="1" x="265"/>
        <item h="1" x="26"/>
        <item h="1" x="324"/>
        <item h="1" x="683"/>
        <item h="1" x="575"/>
        <item h="1" x="284"/>
        <item h="1" x="4"/>
        <item h="1" x="134"/>
        <item h="1" x="928"/>
        <item h="1" x="797"/>
        <item h="1" x="920"/>
        <item h="1" x="679"/>
        <item h="1" x="261"/>
        <item h="1" x="750"/>
        <item h="1" x="602"/>
        <item h="1" x="921"/>
        <item h="1" x="29"/>
        <item h="1" x="86"/>
        <item h="1" x="47"/>
        <item h="1" x="652"/>
        <item h="1" x="688"/>
        <item h="1" x="874"/>
        <item h="1" x="697"/>
        <item h="1" x="772"/>
        <item h="1" x="1"/>
        <item h="1" x="482"/>
        <item h="1" x="700"/>
        <item h="1" x="855"/>
        <item h="1" x="709"/>
        <item h="1" x="456"/>
        <item h="1" x="415"/>
        <item h="1" x="141"/>
        <item h="1" x="188"/>
        <item h="1" x="11"/>
        <item h="1" x="948"/>
        <item h="1" x="264"/>
        <item h="1" x="807"/>
        <item h="1" x="54"/>
        <item h="1" x="326"/>
        <item h="1" x="435"/>
        <item h="1" x="200"/>
        <item h="1" x="793"/>
        <item h="1" x="881"/>
        <item h="1" x="687"/>
        <item h="1" x="730"/>
        <item h="1" x="477"/>
        <item h="1" x="909"/>
        <item h="1" x="873"/>
        <item h="1" x="900"/>
        <item h="1" x="426"/>
        <item h="1" x="80"/>
        <item h="1" x="618"/>
        <item h="1" x="718"/>
        <item h="1" x="19"/>
        <item h="1" x="623"/>
        <item h="1" x="724"/>
        <item h="1" x="605"/>
        <item h="1" x="450"/>
        <item h="1" x="939"/>
        <item h="1" x="409"/>
        <item h="1" x="309"/>
        <item h="1" x="953"/>
        <item h="1" x="752"/>
        <item h="1" x="136"/>
        <item h="1" x="526"/>
        <item h="1" x="609"/>
        <item h="1" x="358"/>
        <item h="1" x="624"/>
        <item h="1" x="631"/>
        <item h="1" x="544"/>
        <item h="1" x="94"/>
        <item h="1" x="911"/>
        <item h="1" x="812"/>
        <item h="1" x="668"/>
        <item h="1" x="303"/>
        <item h="1" x="968"/>
        <item h="1" x="771"/>
        <item h="1" x="896"/>
        <item h="1" x="933"/>
        <item h="1" x="390"/>
        <item h="1" x="860"/>
        <item h="1" x="884"/>
        <item h="1" x="178"/>
        <item h="1" x="412"/>
        <item h="1" x="636"/>
        <item h="1" x="901"/>
        <item h="1" x="406"/>
        <item h="1" x="249"/>
        <item h="1" x="711"/>
        <item h="1" x="433"/>
        <item h="1" x="850"/>
        <item h="1" x="545"/>
        <item h="1" x="438"/>
        <item h="1" x="770"/>
        <item h="1" x="243"/>
        <item h="1" x="335"/>
        <item h="1" x="458"/>
        <item h="1" x="676"/>
        <item h="1" x="227"/>
        <item h="1" x="76"/>
        <item h="1" x="316"/>
        <item h="1" x="977"/>
        <item h="1" x="926"/>
        <item h="1" x="427"/>
        <item h="1" x="38"/>
        <item h="1" x="502"/>
        <item h="1" x="603"/>
        <item h="1" x="708"/>
        <item h="1" x="352"/>
        <item h="1" x="560"/>
        <item h="1" x="342"/>
        <item h="1" x="55"/>
        <item h="1" x="558"/>
        <item h="1" x="364"/>
        <item h="1" x="824"/>
        <item h="1" x="519"/>
        <item h="1" x="779"/>
        <item h="1" x="773"/>
        <item h="1" x="424"/>
        <item h="1" x="522"/>
        <item h="1" x="201"/>
        <item h="1" x="89"/>
        <item h="1" x="656"/>
        <item h="1" x="805"/>
        <item h="1" x="203"/>
        <item h="1" x="986"/>
        <item h="1" x="445"/>
        <item h="1" x="769"/>
        <item h="1" x="197"/>
        <item h="1" x="626"/>
        <item h="1" x="138"/>
        <item h="1" x="764"/>
        <item h="1" x="964"/>
        <item h="1" x="835"/>
        <item h="1" x="240"/>
        <item h="1" x="813"/>
        <item h="1" x="173"/>
        <item h="1" x="701"/>
        <item h="1" x="907"/>
        <item h="1" x="98"/>
        <item h="1" x="349"/>
        <item h="1" x="854"/>
        <item h="1" x="430"/>
        <item h="1" x="761"/>
        <item h="1" x="885"/>
        <item h="1" x="241"/>
        <item h="1" x="803"/>
        <item h="1" x="791"/>
        <item h="1" x="699"/>
        <item h="1" x="319"/>
        <item h="1" x="641"/>
        <item h="1" x="669"/>
        <item h="1" x="336"/>
        <item h="1" x="638"/>
        <item h="1" x="882"/>
        <item h="1" x="67"/>
        <item h="1" x="728"/>
        <item h="1" x="859"/>
        <item h="1" x="777"/>
        <item h="1" x="213"/>
        <item h="1" x="682"/>
        <item h="1" x="160"/>
        <item h="1" x="778"/>
        <item h="1" x="858"/>
        <item h="1" x="365"/>
        <item h="1" x="254"/>
        <item h="1" x="727"/>
        <item h="1" x="898"/>
        <item h="1" x="717"/>
        <item h="1" x="334"/>
        <item h="1" x="444"/>
        <item h="1" x="664"/>
        <item h="1" x="751"/>
        <item h="1" x="792"/>
        <item h="1" x="612"/>
        <item h="1" x="65"/>
        <item h="1" x="318"/>
        <item h="1" x="144"/>
        <item h="1" x="292"/>
        <item h="1" x="208"/>
        <item h="1" x="260"/>
        <item h="1" x="644"/>
        <item h="1" x="941"/>
        <item h="1" x="151"/>
        <item h="1" x="153"/>
        <item h="1" x="360"/>
        <item h="1" x="171"/>
        <item h="1" x="271"/>
        <item h="1" x="681"/>
        <item h="1" x="383"/>
        <item h="1" x="787"/>
        <item h="1" x="674"/>
        <item h="1" x="247"/>
        <item h="1" x="34"/>
        <item h="1" x="844"/>
        <item h="1" x="259"/>
        <item h="1" x="84"/>
        <item h="1" x="219"/>
        <item h="1" x="620"/>
        <item h="1" x="746"/>
        <item h="1" x="766"/>
        <item h="1" x="580"/>
        <item h="1" x="115"/>
        <item h="1" x="46"/>
        <item h="1" x="538"/>
        <item h="1" x="598"/>
        <item h="1" x="774"/>
        <item h="1" x="640"/>
        <item h="1" x="916"/>
        <item h="1" x="801"/>
        <item h="1" x="763"/>
        <item h="1" x="285"/>
        <item h="1" x="823"/>
        <item h="1" x="79"/>
        <item h="1" x="306"/>
        <item h="1" x="479"/>
        <item h="1" x="530"/>
        <item h="1" x="547"/>
        <item h="1" x="591"/>
        <item h="1" x="532"/>
        <item h="1" x="448"/>
        <item h="1" x="978"/>
        <item h="1" x="815"/>
        <item h="1" x="229"/>
        <item h="1" x="59"/>
        <item h="1" x="105"/>
        <item h="1" x="604"/>
        <item h="1" x="142"/>
        <item h="1" x="505"/>
        <item h="1" x="554"/>
        <item h="1" x="5"/>
        <item h="1" x="168"/>
        <item h="1" x="606"/>
        <item h="1" x="231"/>
        <item h="1" x="436"/>
        <item h="1" x="465"/>
        <item h="1" x="861"/>
        <item h="1" x="589"/>
        <item h="1" x="818"/>
        <item h="1" x="864"/>
        <item h="1" x="961"/>
        <item h="1" x="923"/>
        <item h="1" x="287"/>
        <item h="1" x="776"/>
        <item h="1" x="346"/>
        <item h="1" x="100"/>
        <item h="1" x="976"/>
        <item h="1" x="485"/>
        <item h="1" x="509"/>
        <item h="1" x="702"/>
        <item h="1" x="836"/>
        <item h="1" x="930"/>
        <item h="1" x="366"/>
        <item h="1" x="826"/>
        <item h="1" x="102"/>
        <item h="1" x="887"/>
        <item h="1" x="987"/>
        <item h="1" x="414"/>
        <item h="1" x="13"/>
        <item h="1" x="667"/>
        <item h="1" x="202"/>
        <item h="1" x="593"/>
        <item h="1" x="350"/>
        <item h="1" x="353"/>
        <item h="1" x="963"/>
        <item h="1" x="23"/>
        <item h="1" x="655"/>
        <item h="1" x="890"/>
        <item h="1" x="199"/>
        <item h="1" x="684"/>
        <item h="1" x="528"/>
        <item h="1" x="172"/>
        <item h="1" x="947"/>
        <item h="1" x="291"/>
        <item h="1" x="703"/>
        <item h="1" x="744"/>
        <item h="1" x="601"/>
        <item h="1" x="283"/>
        <item h="1" x="108"/>
        <item h="1" x="397"/>
        <item h="1" x="627"/>
        <item h="1" x="246"/>
        <item h="1" x="838"/>
        <item h="1" x="878"/>
        <item h="1" x="794"/>
        <item h="1" x="44"/>
        <item h="1" x="129"/>
        <item h="1" x="913"/>
        <item h="1" x="516"/>
        <item h="1" x="753"/>
        <item h="1" x="692"/>
        <item h="1" x="122"/>
        <item h="1" x="781"/>
        <item h="1" x="323"/>
        <item h="1" x="654"/>
        <item h="1" x="739"/>
        <item h="1" x="238"/>
        <item h="1" x="758"/>
        <item h="1" x="420"/>
        <item h="1" x="322"/>
        <item h="1" x="344"/>
        <item h="1" x="234"/>
        <item h="1" x="675"/>
        <item h="1" x="784"/>
        <item h="1" x="665"/>
        <item h="1" x="193"/>
        <item h="1" x="297"/>
        <item h="1" x="690"/>
        <item h="1" x="659"/>
        <item h="1" x="748"/>
        <item h="1" x="398"/>
        <item h="1" x="337"/>
        <item h="1" x="239"/>
        <item h="1" x="733"/>
        <item h="1" x="822"/>
        <item h="1" x="712"/>
        <item h="1" x="722"/>
        <item h="1" x="673"/>
        <item h="1" x="182"/>
        <item h="1" x="137"/>
        <item h="1" x="407"/>
        <item h="1" x="148"/>
        <item h="1" x="68"/>
        <item h="1" x="795"/>
        <item h="1" x="952"/>
        <item h="1" x="97"/>
        <item h="1" x="91"/>
        <item h="1" x="48"/>
        <item h="1" x="147"/>
        <item h="1" x="461"/>
        <item h="1" x="474"/>
        <item h="1" x="905"/>
        <item h="1" x="552"/>
        <item h="1" x="454"/>
        <item h="1" x="130"/>
        <item h="1" x="431"/>
        <item h="1" x="251"/>
        <item h="1" x="302"/>
        <item h="1" x="286"/>
        <item h="1" x="273"/>
        <item h="1" x="125"/>
        <item h="1" x="327"/>
        <item h="1" x="109"/>
        <item h="1" x="371"/>
        <item h="1" x="880"/>
        <item h="1" x="735"/>
        <item h="1" x="116"/>
        <item h="1" x="25"/>
        <item h="1" x="512"/>
        <item h="1" x="625"/>
        <item h="1" x="451"/>
        <item h="1" x="256"/>
        <item h="1" x="289"/>
        <item h="1" x="196"/>
        <item h="1" x="356"/>
        <item h="1" x="376"/>
        <item h="1" x="768"/>
        <item h="1" x="90"/>
        <item h="1" x="83"/>
        <item h="1" x="980"/>
        <item h="1" x="7"/>
        <item h="1" x="817"/>
        <item h="1" x="904"/>
        <item h="1" x="610"/>
        <item h="1" x="192"/>
        <item h="1" x="979"/>
        <item h="1" x="429"/>
        <item h="1" x="820"/>
        <item h="1" x="658"/>
        <item h="1" x="975"/>
        <item h="1" x="833"/>
        <item h="1" x="518"/>
        <item h="1" x="790"/>
        <item h="1" x="185"/>
        <item h="1" x="393"/>
        <item h="1" x="572"/>
        <item h="1" x="686"/>
        <item h="1" x="972"/>
        <item h="1" x="111"/>
        <item h="1" x="539"/>
        <item h="1" x="392"/>
        <item h="1" x="191"/>
        <item h="1" x="829"/>
        <item h="1" x="847"/>
        <item h="1" x="780"/>
        <item h="1" x="910"/>
        <item h="1" x="628"/>
        <item h="1" x="476"/>
        <item h="1" x="204"/>
        <item h="1" x="693"/>
        <item h="1" x="361"/>
        <item h="1" x="959"/>
        <item h="1" x="367"/>
        <item h="1" x="734"/>
        <item h="1" x="281"/>
        <item h="1" x="956"/>
        <item h="1" x="355"/>
        <item h="1" x="267"/>
        <item h="1" x="929"/>
        <item h="1" x="973"/>
        <item h="1" x="608"/>
        <item h="1" x="135"/>
        <item h="1" x="571"/>
        <item h="1" x="226"/>
        <item h="1" x="595"/>
        <item h="1" x="301"/>
        <item h="1" x="642"/>
        <item h="1" x="507"/>
        <item h="1" x="317"/>
        <item h="1" x="569"/>
        <item h="1" x="510"/>
        <item h="1" x="957"/>
        <item h="1" x="785"/>
        <item h="1" x="914"/>
        <item h="1" x="705"/>
        <item h="1" x="839"/>
        <item h="1" x="565"/>
        <item h="1" x="902"/>
        <item h="1" x="190"/>
        <item h="1" x="615"/>
        <item h="1" x="893"/>
        <item h="1" x="757"/>
        <item h="1" x="599"/>
        <item h="1" x="195"/>
        <item h="1" x="967"/>
        <item h="1" x="470"/>
        <item h="1" x="726"/>
        <item h="1" x="63"/>
        <item h="1" x="73"/>
        <item h="1" x="798"/>
        <item h="1" x="82"/>
        <item h="1" x="806"/>
        <item h="1" x="698"/>
        <item h="1" x="919"/>
        <item h="1" x="139"/>
        <item h="1" x="493"/>
        <item h="1" x="645"/>
        <item h="1" x="442"/>
        <item h="1" x="99"/>
        <item h="1" x="413"/>
        <item h="1" x="93"/>
        <item h="1" x="60"/>
        <item h="1" x="369"/>
        <item h="1" x="325"/>
        <item h="1" x="40"/>
        <item h="1" x="799"/>
        <item h="1" x="970"/>
        <item h="1" x="841"/>
        <item h="1" x="262"/>
        <item h="1" x="330"/>
        <item h="1" x="266"/>
        <item h="1" x="51"/>
        <item h="1" x="621"/>
        <item h="1" x="223"/>
        <item h="1" x="333"/>
        <item h="1" x="310"/>
        <item h="1" x="478"/>
        <item h="1" x="487"/>
        <item h="1" x="453"/>
        <item h="1" x="819"/>
        <item h="1" x="181"/>
        <item h="1" x="483"/>
        <item h="1" x="74"/>
        <item h="1" x="347"/>
        <item h="1" x="942"/>
        <item h="1" x="531"/>
        <item h="1" x="592"/>
        <item h="1" x="49"/>
        <item h="1" x="754"/>
        <item h="1" x="585"/>
        <item h="1" x="597"/>
        <item h="1" x="150"/>
        <item h="1" x="396"/>
        <item h="1" x="282"/>
        <item h="1" x="632"/>
        <item h="1" x="517"/>
        <item h="1" x="446"/>
        <item h="1" x="946"/>
        <item h="1" x="590"/>
        <item h="1" x="218"/>
        <item h="1" x="405"/>
        <item h="1" x="177"/>
        <item h="1" x="491"/>
        <item h="1" x="938"/>
        <item h="1" x="937"/>
        <item h="1" x="579"/>
        <item h="1" x="41"/>
        <item h="1" x="457"/>
        <item h="1" x="230"/>
        <item h="1" x="183"/>
        <item h="1" x="498"/>
        <item h="1" x="402"/>
        <item h="1" x="169"/>
        <item h="1" x="210"/>
        <item h="1" x="294"/>
        <item h="1" x="232"/>
        <item h="1" x="423"/>
        <item h="1" x="696"/>
        <item h="1" x="721"/>
        <item h="1" x="434"/>
        <item h="1" x="651"/>
        <item h="1" x="529"/>
        <item h="1" x="314"/>
        <item h="1" x="175"/>
        <item h="1" x="646"/>
        <item h="1" x="832"/>
        <item h="1" x="740"/>
        <item h="1" x="716"/>
        <item h="1" x="120"/>
        <item h="1" x="274"/>
        <item h="1" x="131"/>
        <item h="1" x="582"/>
        <item h="1" x="198"/>
        <item h="1" x="741"/>
        <item h="1" x="471"/>
        <item h="1" x="78"/>
        <item h="1" x="924"/>
        <item h="1" x="541"/>
        <item h="1" x="152"/>
        <item h="1" x="300"/>
        <item h="1" x="551"/>
        <item h="1" x="587"/>
        <item h="1" x="635"/>
        <item h="1" x="386"/>
        <item h="1" x="320"/>
        <item h="1" x="119"/>
        <item h="1" x="164"/>
        <item h="1" x="463"/>
        <item h="1" x="88"/>
        <item h="1" x="428"/>
        <item h="1" x="760"/>
        <item h="1" x="685"/>
        <item h="1" x="295"/>
        <item h="1" x="357"/>
        <item h="1" x="714"/>
        <item h="1" x="75"/>
        <item h="1" x="877"/>
        <item h="1" x="233"/>
        <item h="1" x="715"/>
        <item h="1" x="922"/>
        <item h="1" x="555"/>
        <item h="1" x="666"/>
        <item h="1" x="165"/>
        <item h="1" x="296"/>
        <item h="1" x="22"/>
        <item h="1" x="672"/>
        <item h="1" x="830"/>
        <item h="1" x="455"/>
        <item h="1" x="467"/>
        <item h="1" x="384"/>
        <item h="1" x="186"/>
        <item h="1" x="252"/>
        <item h="1" x="630"/>
        <item h="1" x="126"/>
        <item h="1" x="379"/>
        <item h="1" x="377"/>
        <item h="1" x="540"/>
        <item h="1" x="162"/>
        <item h="1" x="903"/>
        <item h="1" x="677"/>
        <item h="1" x="845"/>
        <item h="1" x="154"/>
        <item h="1" x="189"/>
        <item h="1" x="695"/>
        <item h="1" x="403"/>
        <item h="1" x="863"/>
        <item h="1" x="872"/>
        <item h="1" x="670"/>
        <item h="1" x="155"/>
        <item h="1" x="965"/>
        <item h="1" x="268"/>
        <item h="1" x="15"/>
        <item h="1" x="581"/>
        <item h="1" x="561"/>
        <item h="1" x="588"/>
        <item h="1" x="401"/>
        <item h="1" x="653"/>
        <item h="1" x="443"/>
        <item h="1" x="710"/>
        <item h="1" x="756"/>
        <item h="1" x="280"/>
        <item h="1" x="950"/>
        <item h="1" x="235"/>
        <item h="1" x="244"/>
        <item h="1" x="891"/>
        <item h="1" x="2"/>
        <item h="1" x="447"/>
        <item h="1" x="20"/>
        <item h="1" x="36"/>
        <item h="1" x="439"/>
        <item h="1" x="634"/>
        <item h="1" x="290"/>
        <item h="1" x="408"/>
        <item h="1" x="174"/>
        <item h="1" x="12"/>
        <item h="1" x="827"/>
        <item h="1" x="944"/>
        <item h="1" x="404"/>
        <item h="1" x="425"/>
        <item h="1" x="788"/>
        <item h="1" x="607"/>
        <item h="1" x="506"/>
        <item h="1" x="737"/>
        <item h="1" x="503"/>
        <item h="1" x="897"/>
        <item h="1" x="616"/>
        <item h="1" x="809"/>
        <item h="1" x="504"/>
        <item h="1" x="341"/>
        <item h="1" x="691"/>
        <item h="1" x="18"/>
        <item h="1" x="810"/>
        <item h="1" x="648"/>
        <item h="1" x="394"/>
        <item h="1" x="537"/>
        <item h="1" x="14"/>
        <item h="1" x="594"/>
        <item h="1" x="783"/>
        <item h="1" x="469"/>
        <item h="1" x="217"/>
        <item h="1" x="329"/>
        <item h="1" x="45"/>
        <item h="1" x="596"/>
        <item h="1" x="57"/>
        <item h="1" x="966"/>
        <item h="1" x="328"/>
        <item h="1" x="35"/>
        <item h="1" x="472"/>
        <item h="1" x="257"/>
        <item h="1" x="883"/>
        <item h="1" x="574"/>
        <item h="1" x="611"/>
        <item h="1" x="170"/>
        <item h="1" x="43"/>
        <item h="1" x="441"/>
        <item h="1" x="440"/>
        <item h="1" x="221"/>
        <item h="1" x="499"/>
        <item h="1" x="72"/>
        <item h="1" x="657"/>
        <item h="1" x="513"/>
        <item h="1" x="637"/>
        <item h="1" x="899"/>
        <item h="1" x="340"/>
        <item h="1" x="381"/>
        <item h="1" x="663"/>
        <item h="1" x="422"/>
        <item h="1" x="10"/>
        <item h="1" x="343"/>
        <item h="1" x="176"/>
        <item h="1" x="856"/>
        <item h="1" x="157"/>
        <item h="1" x="846"/>
        <item h="1" x="184"/>
        <item h="1" x="586"/>
        <item h="1" x="66"/>
        <item h="1" x="269"/>
        <item h="1" x="449"/>
        <item h="1" x="762"/>
        <item h="1" x="276"/>
        <item h="1" x="30"/>
        <item h="1" x="983"/>
        <item h="1" x="548"/>
        <item h="1" x="180"/>
        <item h="1" x="671"/>
        <item h="1" x="255"/>
        <item h="1" x="351"/>
        <item h="1" x="852"/>
        <item h="1" x="228"/>
        <item h="1" x="248"/>
        <item h="1" x="662"/>
        <item h="1" x="104"/>
        <item h="1" x="52"/>
        <item h="1" x="521"/>
        <item h="1" x="373"/>
        <item h="1" x="563"/>
        <item h="1" x="633"/>
        <item h="1" x="339"/>
        <item h="1" x="279"/>
        <item h="1" x="566"/>
        <item h="1" x="622"/>
        <item h="1" x="888"/>
        <item h="1" x="934"/>
        <item h="1" x="187"/>
        <item h="1" x="557"/>
        <item h="1" x="0"/>
        <item h="1" x="270"/>
        <item h="1" x="564"/>
        <item h="1" x="263"/>
        <item h="1" x="743"/>
        <item h="1" x="421"/>
        <item h="1" x="866"/>
        <item h="1" x="932"/>
        <item h="1" x="156"/>
        <item h="1" x="242"/>
        <item h="1" x="258"/>
        <item h="1" x="103"/>
        <item h="1" x="225"/>
        <item h="1" x="17"/>
        <item h="1" x="61"/>
        <item h="1" x="775"/>
        <item h="1" x="468"/>
        <item h="1" x="64"/>
        <item h="1" x="915"/>
        <item h="1" x="278"/>
        <item h="1" x="127"/>
        <item h="1" x="577"/>
        <item h="1" x="837"/>
        <item h="1" x="9"/>
        <item h="1" x="359"/>
        <item h="1" x="876"/>
        <item h="1" x="789"/>
        <item h="1" x="570"/>
        <item h="1" x="889"/>
        <item h="1" x="370"/>
        <item h="1" x="543"/>
        <item h="1" x="567"/>
        <item h="1" x="312"/>
        <item h="1" x="738"/>
        <item h="1" x="42"/>
        <item h="1" x="460"/>
        <item h="1" x="32"/>
        <item h="1" x="869"/>
        <item h="1" x="840"/>
        <item h="1" x="811"/>
        <item h="1" x="277"/>
        <item h="1" x="419"/>
        <item h="1" x="39"/>
        <item h="1" x="796"/>
        <item h="1" x="501"/>
        <item h="1" x="124"/>
        <item h="1" x="650"/>
        <item h="1" x="945"/>
        <item h="1" x="955"/>
        <item h="1" x="92"/>
        <item h="1" x="380"/>
        <item h="1" x="985"/>
        <item h="1" x="745"/>
        <item h="1" x="500"/>
        <item h="1" x="749"/>
        <item h="1" x="974"/>
        <item h="1" x="497"/>
        <item h="1" x="535"/>
        <item h="1" x="400"/>
        <item h="1" x="619"/>
        <item h="1" x="848"/>
        <item h="1" x="338"/>
        <item h="1" x="250"/>
        <item h="1" x="843"/>
        <item h="1" x="523"/>
        <item h="1" x="816"/>
        <item h="1" x="689"/>
        <item h="1" x="77"/>
        <item h="1" x="894"/>
        <item h="1" x="410"/>
        <item h="1" x="908"/>
        <item h="1" x="875"/>
        <item h="1" x="58"/>
        <item h="1" x="418"/>
        <item h="1" x="473"/>
        <item h="1" x="304"/>
        <item h="1" x="132"/>
        <item h="1" x="821"/>
        <item h="1" x="694"/>
        <item h="1" x="719"/>
        <item h="1" x="515"/>
        <item h="1" x="536"/>
        <item h="1" x="808"/>
        <item h="1" x="982"/>
        <item h="1" x="113"/>
        <item h="1" x="395"/>
        <item h="1" x="194"/>
        <item h="1" x="70"/>
        <item h="1" x="680"/>
        <item h="1" x="27"/>
        <item h="1" x="117"/>
        <item h="1" x="767"/>
        <item h="1" x="220"/>
        <item h="1" x="755"/>
        <item h="1" x="862"/>
        <item h="1" x="348"/>
        <item h="1" x="236"/>
        <item h="1" x="981"/>
        <item h="1" x="158"/>
        <item h="1" x="514"/>
        <item h="1" x="550"/>
        <item h="1" x="211"/>
        <item h="1" x="311"/>
        <item h="1" x="647"/>
        <item h="1" x="140"/>
        <item h="1" x="8"/>
        <item h="1" x="159"/>
        <item h="1" x="527"/>
        <item h="1" x="432"/>
        <item h="1" x="879"/>
        <item h="1" x="28"/>
        <item h="1" x="851"/>
        <item h="1" x="927"/>
        <item h="1" x="53"/>
        <item h="1" x="831"/>
        <item h="1" x="222"/>
        <item h="1" x="870"/>
        <item h="1" x="437"/>
        <item h="1" x="3"/>
        <item h="1" x="411"/>
        <item h="1" x="466"/>
        <item h="1" x="452"/>
        <item h="1" x="118"/>
        <item h="1" x="573"/>
        <item h="1" x="629"/>
        <item h="1" x="167"/>
        <item h="1" x="81"/>
        <item h="1" x="107"/>
        <item h="1" x="614"/>
        <item h="1" x="375"/>
        <item h="1" x="494"/>
        <item h="1" x="940"/>
        <item h="1" x="372"/>
        <item h="1" x="802"/>
        <item h="1" x="368"/>
        <item h="1" x="145"/>
        <item h="1" x="37"/>
        <item h="1" x="533"/>
        <item h="1" x="21"/>
        <item h="1" x="85"/>
        <item h="1" x="886"/>
        <item h="1" x="943"/>
        <item h="1" x="731"/>
        <item h="1" x="464"/>
        <item h="1" x="345"/>
        <item h="1" x="56"/>
        <item h="1" x="212"/>
        <item h="1" x="275"/>
        <item h="1" x="62"/>
        <item h="1" x="354"/>
        <item h="1" x="868"/>
        <item h="1" x="556"/>
        <item h="1" x="984"/>
        <item h="1" x="814"/>
        <item h="1" x="24"/>
        <item h="1" x="305"/>
        <item h="1" x="96"/>
        <item h="1" x="871"/>
        <item h="1" x="949"/>
        <item h="1" x="486"/>
        <item h="1" x="321"/>
        <item h="1" x="576"/>
        <item h="1" x="490"/>
        <item h="1" x="546"/>
        <item h="1" x="765"/>
        <item h="1" x="553"/>
        <item h="1" x="480"/>
        <item h="1" x="299"/>
        <item h="1" x="782"/>
        <item h="1" x="720"/>
        <item h="1" x="534"/>
        <item h="1" x="95"/>
        <item h="1" x="69"/>
        <item h="1" x="958"/>
        <item h="1" x="562"/>
        <item h="1" x="568"/>
        <item h="1" x="207"/>
        <item h="1" x="166"/>
        <item h="1" x="583"/>
        <item h="1" x="205"/>
        <item h="1" x="389"/>
        <item h="1" x="496"/>
        <item h="1" x="849"/>
        <item h="1" x="272"/>
        <item h="1" x="584"/>
        <item h="1" x="161"/>
        <item t="default"/>
      </items>
    </pivotField>
    <pivotField dataField="1" showAll="0">
      <items count="992">
        <item x="906"/>
        <item x="307"/>
        <item x="918"/>
        <item x="736"/>
        <item x="524"/>
        <item x="417"/>
        <item x="224"/>
        <item x="747"/>
        <item x="123"/>
        <item x="729"/>
        <item x="87"/>
        <item x="399"/>
        <item x="488"/>
        <item x="459"/>
        <item x="925"/>
        <item x="33"/>
        <item x="215"/>
        <item x="214"/>
        <item x="112"/>
        <item x="298"/>
        <item x="492"/>
        <item x="416"/>
        <item x="163"/>
        <item x="71"/>
        <item x="804"/>
        <item x="385"/>
        <item x="520"/>
        <item x="313"/>
        <item x="106"/>
        <item x="989"/>
        <item x="245"/>
        <item x="525"/>
        <item x="50"/>
        <item x="511"/>
        <item x="828"/>
        <item x="332"/>
        <item x="857"/>
        <item x="732"/>
        <item x="649"/>
        <item x="362"/>
        <item x="742"/>
        <item x="660"/>
        <item x="216"/>
        <item x="149"/>
        <item x="331"/>
        <item x="936"/>
        <item x="988"/>
        <item x="969"/>
        <item x="121"/>
        <item x="542"/>
        <item x="951"/>
        <item x="842"/>
        <item x="707"/>
        <item x="800"/>
        <item x="288"/>
        <item x="308"/>
        <item x="892"/>
        <item x="678"/>
        <item x="315"/>
        <item x="484"/>
        <item x="209"/>
        <item x="661"/>
        <item x="549"/>
        <item x="954"/>
        <item x="387"/>
        <item x="559"/>
        <item x="253"/>
        <item x="935"/>
        <item x="912"/>
        <item x="382"/>
        <item x="363"/>
        <item x="179"/>
        <item x="374"/>
        <item x="867"/>
        <item x="962"/>
        <item x="600"/>
        <item x="895"/>
        <item x="643"/>
        <item x="388"/>
        <item x="462"/>
        <item x="834"/>
        <item x="931"/>
        <item x="6"/>
        <item x="617"/>
        <item x="825"/>
        <item x="917"/>
        <item x="391"/>
        <item x="495"/>
        <item x="133"/>
        <item x="206"/>
        <item x="146"/>
        <item x="578"/>
        <item x="293"/>
        <item x="475"/>
        <item x="114"/>
        <item x="990"/>
        <item x="110"/>
        <item x="639"/>
        <item x="508"/>
        <item x="971"/>
        <item x="31"/>
        <item x="489"/>
        <item x="16"/>
        <item x="723"/>
        <item x="378"/>
        <item x="706"/>
        <item x="853"/>
        <item x="237"/>
        <item x="759"/>
        <item x="960"/>
        <item x="786"/>
        <item x="143"/>
        <item x="265"/>
        <item x="26"/>
        <item x="324"/>
        <item x="683"/>
        <item x="575"/>
        <item x="284"/>
        <item x="4"/>
        <item x="134"/>
        <item x="928"/>
        <item x="797"/>
        <item x="920"/>
        <item x="679"/>
        <item x="261"/>
        <item x="750"/>
        <item x="602"/>
        <item x="921"/>
        <item x="29"/>
        <item x="86"/>
        <item x="47"/>
        <item x="652"/>
        <item x="688"/>
        <item x="874"/>
        <item x="697"/>
        <item x="772"/>
        <item x="1"/>
        <item x="482"/>
        <item x="700"/>
        <item x="855"/>
        <item x="709"/>
        <item x="456"/>
        <item x="415"/>
        <item x="141"/>
        <item x="188"/>
        <item x="11"/>
        <item x="948"/>
        <item x="264"/>
        <item x="807"/>
        <item x="54"/>
        <item x="326"/>
        <item x="435"/>
        <item x="200"/>
        <item x="793"/>
        <item x="881"/>
        <item x="687"/>
        <item x="730"/>
        <item x="477"/>
        <item x="909"/>
        <item x="873"/>
        <item x="900"/>
        <item x="426"/>
        <item x="80"/>
        <item x="618"/>
        <item x="718"/>
        <item x="19"/>
        <item x="623"/>
        <item x="724"/>
        <item x="605"/>
        <item x="450"/>
        <item x="939"/>
        <item x="409"/>
        <item x="309"/>
        <item x="953"/>
        <item x="752"/>
        <item x="136"/>
        <item x="526"/>
        <item x="609"/>
        <item x="358"/>
        <item x="624"/>
        <item x="631"/>
        <item x="544"/>
        <item x="94"/>
        <item x="911"/>
        <item x="812"/>
        <item x="668"/>
        <item x="303"/>
        <item x="968"/>
        <item x="771"/>
        <item x="896"/>
        <item x="933"/>
        <item x="390"/>
        <item x="860"/>
        <item x="884"/>
        <item x="178"/>
        <item x="412"/>
        <item x="636"/>
        <item x="901"/>
        <item x="406"/>
        <item x="249"/>
        <item x="711"/>
        <item x="433"/>
        <item x="850"/>
        <item x="545"/>
        <item x="438"/>
        <item x="770"/>
        <item x="243"/>
        <item x="335"/>
        <item x="458"/>
        <item x="676"/>
        <item x="227"/>
        <item x="76"/>
        <item x="316"/>
        <item x="977"/>
        <item x="926"/>
        <item x="427"/>
        <item x="38"/>
        <item x="502"/>
        <item x="603"/>
        <item x="708"/>
        <item x="352"/>
        <item x="560"/>
        <item x="342"/>
        <item x="55"/>
        <item x="558"/>
        <item x="364"/>
        <item x="824"/>
        <item x="519"/>
        <item x="779"/>
        <item x="773"/>
        <item x="424"/>
        <item x="522"/>
        <item x="201"/>
        <item x="89"/>
        <item x="656"/>
        <item x="805"/>
        <item x="203"/>
        <item x="986"/>
        <item x="445"/>
        <item x="769"/>
        <item x="197"/>
        <item x="626"/>
        <item x="138"/>
        <item x="764"/>
        <item x="964"/>
        <item x="835"/>
        <item x="240"/>
        <item x="813"/>
        <item x="173"/>
        <item x="701"/>
        <item x="907"/>
        <item x="98"/>
        <item x="349"/>
        <item x="854"/>
        <item x="430"/>
        <item x="761"/>
        <item x="885"/>
        <item x="241"/>
        <item x="803"/>
        <item x="791"/>
        <item x="699"/>
        <item x="319"/>
        <item x="641"/>
        <item x="669"/>
        <item x="336"/>
        <item x="638"/>
        <item x="882"/>
        <item x="67"/>
        <item x="728"/>
        <item x="859"/>
        <item x="777"/>
        <item x="213"/>
        <item x="682"/>
        <item x="160"/>
        <item x="778"/>
        <item x="858"/>
        <item x="365"/>
        <item x="254"/>
        <item x="727"/>
        <item x="898"/>
        <item x="717"/>
        <item x="334"/>
        <item x="444"/>
        <item x="664"/>
        <item x="751"/>
        <item x="792"/>
        <item x="612"/>
        <item x="65"/>
        <item x="318"/>
        <item x="144"/>
        <item x="292"/>
        <item x="208"/>
        <item x="260"/>
        <item x="644"/>
        <item x="941"/>
        <item x="151"/>
        <item x="153"/>
        <item x="360"/>
        <item x="171"/>
        <item x="271"/>
        <item x="681"/>
        <item x="383"/>
        <item x="787"/>
        <item x="674"/>
        <item x="247"/>
        <item x="34"/>
        <item x="844"/>
        <item x="259"/>
        <item x="84"/>
        <item x="219"/>
        <item x="620"/>
        <item x="746"/>
        <item x="766"/>
        <item x="580"/>
        <item x="115"/>
        <item x="46"/>
        <item x="538"/>
        <item x="598"/>
        <item x="774"/>
        <item x="640"/>
        <item x="916"/>
        <item x="801"/>
        <item x="763"/>
        <item x="285"/>
        <item x="823"/>
        <item x="79"/>
        <item x="306"/>
        <item x="479"/>
        <item x="530"/>
        <item x="547"/>
        <item x="591"/>
        <item x="532"/>
        <item x="448"/>
        <item x="978"/>
        <item x="815"/>
        <item x="229"/>
        <item x="59"/>
        <item x="105"/>
        <item x="604"/>
        <item x="142"/>
        <item x="505"/>
        <item x="554"/>
        <item x="5"/>
        <item x="168"/>
        <item x="606"/>
        <item x="231"/>
        <item x="436"/>
        <item x="465"/>
        <item x="861"/>
        <item x="589"/>
        <item x="818"/>
        <item x="864"/>
        <item x="961"/>
        <item x="923"/>
        <item x="287"/>
        <item x="776"/>
        <item x="346"/>
        <item x="100"/>
        <item x="976"/>
        <item x="485"/>
        <item x="509"/>
        <item x="702"/>
        <item x="836"/>
        <item x="930"/>
        <item x="366"/>
        <item x="826"/>
        <item x="102"/>
        <item x="887"/>
        <item x="987"/>
        <item x="414"/>
        <item x="13"/>
        <item x="667"/>
        <item x="202"/>
        <item x="593"/>
        <item x="350"/>
        <item x="353"/>
        <item x="963"/>
        <item x="23"/>
        <item x="655"/>
        <item x="890"/>
        <item x="199"/>
        <item x="684"/>
        <item x="528"/>
        <item x="172"/>
        <item x="947"/>
        <item x="291"/>
        <item x="703"/>
        <item x="744"/>
        <item x="601"/>
        <item x="283"/>
        <item x="108"/>
        <item x="397"/>
        <item x="627"/>
        <item x="246"/>
        <item x="838"/>
        <item x="878"/>
        <item x="794"/>
        <item x="44"/>
        <item x="129"/>
        <item x="913"/>
        <item x="516"/>
        <item x="753"/>
        <item x="692"/>
        <item x="122"/>
        <item x="781"/>
        <item x="323"/>
        <item x="654"/>
        <item x="739"/>
        <item x="238"/>
        <item x="758"/>
        <item x="420"/>
        <item x="322"/>
        <item x="344"/>
        <item x="234"/>
        <item x="675"/>
        <item x="784"/>
        <item x="665"/>
        <item x="193"/>
        <item x="297"/>
        <item x="690"/>
        <item x="659"/>
        <item x="748"/>
        <item x="398"/>
        <item x="337"/>
        <item x="239"/>
        <item x="733"/>
        <item x="822"/>
        <item x="712"/>
        <item x="722"/>
        <item x="673"/>
        <item x="182"/>
        <item x="137"/>
        <item x="407"/>
        <item x="148"/>
        <item x="68"/>
        <item x="795"/>
        <item x="952"/>
        <item x="97"/>
        <item x="91"/>
        <item x="48"/>
        <item x="147"/>
        <item x="461"/>
        <item x="474"/>
        <item x="905"/>
        <item x="552"/>
        <item x="454"/>
        <item x="130"/>
        <item x="431"/>
        <item x="251"/>
        <item x="302"/>
        <item x="286"/>
        <item x="273"/>
        <item x="125"/>
        <item x="327"/>
        <item x="109"/>
        <item x="371"/>
        <item x="880"/>
        <item x="735"/>
        <item x="116"/>
        <item x="25"/>
        <item x="512"/>
        <item x="625"/>
        <item x="451"/>
        <item x="256"/>
        <item x="289"/>
        <item x="196"/>
        <item x="356"/>
        <item x="376"/>
        <item x="768"/>
        <item x="90"/>
        <item x="83"/>
        <item x="980"/>
        <item x="7"/>
        <item x="817"/>
        <item x="904"/>
        <item x="610"/>
        <item x="192"/>
        <item x="979"/>
        <item x="429"/>
        <item x="820"/>
        <item x="658"/>
        <item x="975"/>
        <item x="833"/>
        <item x="518"/>
        <item x="790"/>
        <item x="185"/>
        <item x="393"/>
        <item x="572"/>
        <item x="686"/>
        <item x="972"/>
        <item x="111"/>
        <item x="539"/>
        <item x="392"/>
        <item x="191"/>
        <item x="829"/>
        <item x="847"/>
        <item x="780"/>
        <item x="910"/>
        <item x="628"/>
        <item x="476"/>
        <item x="204"/>
        <item x="693"/>
        <item x="361"/>
        <item x="959"/>
        <item x="367"/>
        <item x="734"/>
        <item x="281"/>
        <item x="956"/>
        <item x="355"/>
        <item x="267"/>
        <item x="929"/>
        <item x="973"/>
        <item x="608"/>
        <item x="135"/>
        <item x="571"/>
        <item x="595"/>
        <item x="301"/>
        <item x="642"/>
        <item x="507"/>
        <item x="569"/>
        <item x="957"/>
        <item x="785"/>
        <item x="914"/>
        <item x="705"/>
        <item x="839"/>
        <item x="565"/>
        <item x="902"/>
        <item x="615"/>
        <item x="893"/>
        <item x="757"/>
        <item x="599"/>
        <item x="195"/>
        <item x="967"/>
        <item x="726"/>
        <item x="63"/>
        <item x="73"/>
        <item x="798"/>
        <item x="82"/>
        <item x="806"/>
        <item x="698"/>
        <item x="919"/>
        <item x="493"/>
        <item x="645"/>
        <item x="442"/>
        <item x="99"/>
        <item x="93"/>
        <item x="369"/>
        <item x="325"/>
        <item x="40"/>
        <item x="799"/>
        <item x="970"/>
        <item x="841"/>
        <item x="262"/>
        <item x="330"/>
        <item x="266"/>
        <item x="621"/>
        <item x="223"/>
        <item x="333"/>
        <item x="487"/>
        <item x="453"/>
        <item x="819"/>
        <item x="181"/>
        <item x="483"/>
        <item x="74"/>
        <item x="347"/>
        <item x="942"/>
        <item x="531"/>
        <item x="592"/>
        <item x="49"/>
        <item x="585"/>
        <item x="597"/>
        <item x="396"/>
        <item x="282"/>
        <item x="632"/>
        <item x="517"/>
        <item x="446"/>
        <item x="946"/>
        <item x="590"/>
        <item x="405"/>
        <item x="177"/>
        <item x="938"/>
        <item x="937"/>
        <item x="41"/>
        <item x="230"/>
        <item x="183"/>
        <item x="169"/>
        <item x="210"/>
        <item x="294"/>
        <item x="232"/>
        <item x="696"/>
        <item x="721"/>
        <item x="434"/>
        <item x="651"/>
        <item x="529"/>
        <item x="314"/>
        <item x="832"/>
        <item x="740"/>
        <item x="274"/>
        <item x="582"/>
        <item x="198"/>
        <item x="741"/>
        <item x="471"/>
        <item x="78"/>
        <item x="924"/>
        <item x="541"/>
        <item x="152"/>
        <item x="300"/>
        <item x="551"/>
        <item x="635"/>
        <item x="386"/>
        <item x="320"/>
        <item x="119"/>
        <item x="164"/>
        <item x="463"/>
        <item x="760"/>
        <item x="357"/>
        <item x="75"/>
        <item x="877"/>
        <item x="233"/>
        <item x="226"/>
        <item x="555"/>
        <item x="165"/>
        <item x="22"/>
        <item x="672"/>
        <item x="317"/>
        <item x="830"/>
        <item x="455"/>
        <item x="467"/>
        <item x="384"/>
        <item x="186"/>
        <item x="510"/>
        <item x="252"/>
        <item x="630"/>
        <item x="126"/>
        <item x="379"/>
        <item x="377"/>
        <item x="540"/>
        <item x="903"/>
        <item x="677"/>
        <item x="845"/>
        <item x="154"/>
        <item x="189"/>
        <item x="190"/>
        <item x="695"/>
        <item x="403"/>
        <item x="863"/>
        <item x="670"/>
        <item x="470"/>
        <item x="965"/>
        <item x="268"/>
        <item x="15"/>
        <item x="581"/>
        <item x="561"/>
        <item x="139"/>
        <item x="401"/>
        <item x="653"/>
        <item x="443"/>
        <item x="413"/>
        <item x="710"/>
        <item x="60"/>
        <item x="280"/>
        <item x="950"/>
        <item x="235"/>
        <item x="244"/>
        <item x="2"/>
        <item x="447"/>
        <item x="20"/>
        <item x="36"/>
        <item x="439"/>
        <item x="290"/>
        <item x="408"/>
        <item x="174"/>
        <item x="12"/>
        <item x="51"/>
        <item x="827"/>
        <item x="310"/>
        <item x="944"/>
        <item x="404"/>
        <item x="478"/>
        <item x="506"/>
        <item x="737"/>
        <item x="503"/>
        <item x="616"/>
        <item x="809"/>
        <item x="504"/>
        <item x="754"/>
        <item x="691"/>
        <item x="18"/>
        <item x="648"/>
        <item x="394"/>
        <item x="150"/>
        <item x="537"/>
        <item x="14"/>
        <item x="594"/>
        <item x="783"/>
        <item x="469"/>
        <item x="217"/>
        <item x="329"/>
        <item x="45"/>
        <item x="596"/>
        <item x="57"/>
        <item x="218"/>
        <item x="328"/>
        <item x="491"/>
        <item x="35"/>
        <item x="472"/>
        <item x="579"/>
        <item x="457"/>
        <item x="611"/>
        <item x="170"/>
        <item x="43"/>
        <item x="440"/>
        <item x="498"/>
        <item x="402"/>
        <item x="221"/>
        <item x="499"/>
        <item x="72"/>
        <item x="423"/>
        <item x="657"/>
        <item x="637"/>
        <item x="340"/>
        <item x="175"/>
        <item x="663"/>
        <item x="646"/>
        <item x="716"/>
        <item x="120"/>
        <item x="343"/>
        <item x="176"/>
        <item x="856"/>
        <item x="131"/>
        <item x="846"/>
        <item x="586"/>
        <item x="66"/>
        <item x="449"/>
        <item x="762"/>
        <item x="276"/>
        <item x="983"/>
        <item x="548"/>
        <item x="671"/>
        <item x="255"/>
        <item x="587"/>
        <item x="351"/>
        <item x="228"/>
        <item x="248"/>
        <item x="662"/>
        <item x="104"/>
        <item x="52"/>
        <item x="88"/>
        <item x="428"/>
        <item x="373"/>
        <item x="563"/>
        <item x="633"/>
        <item x="339"/>
        <item x="685"/>
        <item x="279"/>
        <item x="295"/>
        <item x="566"/>
        <item x="622"/>
        <item x="888"/>
        <item x="934"/>
        <item x="714"/>
        <item x="187"/>
        <item x="270"/>
        <item x="564"/>
        <item x="263"/>
        <item x="743"/>
        <item x="421"/>
        <item x="866"/>
        <item x="715"/>
        <item x="922"/>
        <item x="666"/>
        <item x="932"/>
        <item x="296"/>
        <item x="156"/>
        <item x="242"/>
        <item x="258"/>
        <item x="103"/>
        <item x="225"/>
        <item x="162"/>
        <item x="17"/>
        <item x="61"/>
        <item x="64"/>
        <item x="872"/>
        <item x="915"/>
        <item x="278"/>
        <item x="127"/>
        <item x="155"/>
        <item x="577"/>
        <item x="837"/>
        <item x="9"/>
        <item x="359"/>
        <item x="588"/>
        <item x="570"/>
        <item x="889"/>
        <item x="370"/>
        <item x="543"/>
        <item x="567"/>
        <item x="312"/>
        <item x="738"/>
        <item x="42"/>
        <item x="460"/>
        <item x="756"/>
        <item x="32"/>
        <item x="869"/>
        <item x="891"/>
        <item x="840"/>
        <item x="811"/>
        <item x="277"/>
        <item x="419"/>
        <item x="39"/>
        <item x="796"/>
        <item x="124"/>
        <item x="634"/>
        <item x="650"/>
        <item x="945"/>
        <item x="955"/>
        <item x="985"/>
        <item x="745"/>
        <item x="749"/>
        <item x="101"/>
        <item x="974"/>
        <item x="425"/>
        <item x="788"/>
        <item x="607"/>
        <item x="497"/>
        <item x="897"/>
        <item x="725"/>
        <item x="535"/>
        <item x="400"/>
        <item x="341"/>
        <item x="848"/>
        <item x="810"/>
        <item x="250"/>
        <item x="843"/>
        <item x="523"/>
        <item x="816"/>
        <item x="689"/>
        <item x="77"/>
        <item x="894"/>
        <item x="966"/>
        <item x="908"/>
        <item x="875"/>
        <item x="257"/>
        <item x="883"/>
        <item x="418"/>
        <item x="473"/>
        <item x="574"/>
        <item x="441"/>
        <item x="132"/>
        <item x="821"/>
        <item x="719"/>
        <item x="515"/>
        <item x="513"/>
        <item x="899"/>
        <item x="808"/>
        <item x="113"/>
        <item x="704"/>
        <item x="381"/>
        <item x="422"/>
        <item x="70"/>
        <item x="680"/>
        <item x="27"/>
        <item x="117"/>
        <item x="10"/>
        <item x="157"/>
        <item x="767"/>
        <item x="184"/>
        <item x="220"/>
        <item x="862"/>
        <item x="269"/>
        <item x="236"/>
        <item x="981"/>
        <item x="211"/>
        <item x="30"/>
        <item x="311"/>
        <item x="647"/>
        <item x="140"/>
        <item x="180"/>
        <item x="8"/>
        <item x="159"/>
        <item x="527"/>
        <item x="852"/>
        <item x="432"/>
        <item x="879"/>
        <item x="28"/>
        <item x="927"/>
        <item x="831"/>
        <item x="521"/>
        <item x="222"/>
        <item x="870"/>
        <item x="437"/>
        <item x="3"/>
        <item x="411"/>
        <item x="466"/>
        <item x="452"/>
        <item x="128"/>
        <item x="118"/>
        <item x="557"/>
        <item x="0"/>
        <item x="573"/>
        <item x="629"/>
        <item x="481"/>
        <item x="167"/>
        <item x="81"/>
        <item x="614"/>
        <item x="375"/>
        <item x="494"/>
        <item x="940"/>
        <item x="372"/>
        <item x="802"/>
        <item x="368"/>
        <item x="145"/>
        <item x="37"/>
        <item x="775"/>
        <item x="533"/>
        <item x="468"/>
        <item x="21"/>
        <item x="85"/>
        <item x="713"/>
        <item x="943"/>
        <item x="731"/>
        <item x="56"/>
        <item x="275"/>
        <item x="876"/>
        <item x="62"/>
        <item x="789"/>
        <item x="868"/>
        <item x="556"/>
        <item x="984"/>
        <item x="814"/>
        <item x="24"/>
        <item x="305"/>
        <item x="96"/>
        <item x="871"/>
        <item x="949"/>
        <item x="486"/>
        <item x="501"/>
        <item x="92"/>
        <item x="380"/>
        <item x="500"/>
        <item x="321"/>
        <item x="576"/>
        <item x="490"/>
        <item x="546"/>
        <item x="553"/>
        <item x="613"/>
        <item x="480"/>
        <item x="619"/>
        <item x="782"/>
        <item x="720"/>
        <item x="534"/>
        <item x="69"/>
        <item x="958"/>
        <item x="562"/>
        <item x="338"/>
        <item x="568"/>
        <item x="207"/>
        <item x="410"/>
        <item x="58"/>
        <item x="304"/>
        <item x="166"/>
        <item x="694"/>
        <item x="583"/>
        <item x="865"/>
        <item x="536"/>
        <item x="982"/>
        <item x="395"/>
        <item x="205"/>
        <item x="389"/>
        <item x="496"/>
        <item x="849"/>
        <item x="194"/>
        <item x="272"/>
        <item x="584"/>
        <item x="161"/>
        <item x="755"/>
        <item x="348"/>
        <item x="158"/>
        <item x="514"/>
        <item x="550"/>
        <item x="851"/>
        <item x="53"/>
        <item x="107"/>
        <item x="886"/>
        <item x="464"/>
        <item x="345"/>
        <item x="212"/>
        <item x="354"/>
        <item x="765"/>
        <item x="299"/>
        <item x="95"/>
        <item t="default"/>
      </items>
    </pivotField>
  </pivotFields>
  <rowFields count="1">
    <field x="0"/>
  </rowFields>
  <rowItems count="3">
    <i>
      <x/>
    </i>
    <i>
      <x v="1"/>
    </i>
    <i t="grand">
      <x/>
    </i>
  </rowItems>
  <colItems count="1">
    <i/>
  </colItems>
  <dataFields count="1">
    <dataField name="Sum of Revenue" fld="9"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6F2963F8-4859-4F49-A020-B88160172B58}" sourceName="Gender">
  <pivotTables>
    <pivotTable tabId="2" name="PivotTable9"/>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s>
  <data>
    <tabular pivotCacheId="96537453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D14F32F4-8831-4D20-B7C1-3CE6358C757A}" sourceName="City">
  <pivotTables>
    <pivotTable tabId="2" name="PivotTable9"/>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s>
  <data>
    <tabular pivotCacheId="965374538">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73CB1488-24EA-4DEE-AE7A-6664F94A0D28}" sourceName="Customer type">
  <pivotTables>
    <pivotTable tabId="2" name="PivotTable9"/>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s>
  <data>
    <tabular pivotCacheId="965374538">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1" xr10:uid="{A3B6EDB0-E40C-43A2-92D8-EDF79A43CD34}" sourceName="Product line">
  <pivotTables>
    <pivotTable tabId="2" name="PivotTable9"/>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s>
  <data>
    <tabular pivotCacheId="965374538">
      <items count="6">
        <i x="1" s="1"/>
        <i x="4" s="1"/>
        <i x="3" s="1"/>
        <i x="0" s="1"/>
        <i x="2"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2B85D800-5909-4C76-A97E-5A1FB687089F}" cache="Slicer_Gender1" caption="Gender" rowHeight="241300"/>
  <slicer name="City 1" xr10:uid="{31D898C2-9BF5-4BCB-9144-FC69D1BF8087}" cache="Slicer_City1" caption="City" rowHeight="241300"/>
  <slicer name="Customer type" xr10:uid="{6088DDAB-80DB-4D2D-8041-4654CB7074C7}" cache="Slicer_Customer_type" caption="Customer type" rowHeight="241300"/>
  <slicer name="Product line 1" xr10:uid="{F1B5B331-61C5-496F-9E6C-630D5A113677}" cache="Slicer_Product_line1" caption="Product lin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DD721-4C99-4421-B673-335E5CEACC5E}">
  <dimension ref="A3:E71"/>
  <sheetViews>
    <sheetView topLeftCell="A30" workbookViewId="0">
      <selection activeCell="E41" sqref="E41"/>
    </sheetView>
  </sheetViews>
  <sheetFormatPr defaultRowHeight="14.5" x14ac:dyDescent="0.35"/>
  <cols>
    <col min="1" max="1" width="18.90625" bestFit="1" customWidth="1"/>
    <col min="2" max="2" width="15.26953125" bestFit="1" customWidth="1"/>
    <col min="3" max="3" width="9.6328125" bestFit="1" customWidth="1"/>
    <col min="4" max="4" width="8.36328125" bestFit="1" customWidth="1"/>
    <col min="5" max="5" width="10.7265625" bestFit="1" customWidth="1"/>
  </cols>
  <sheetData>
    <row r="3" spans="1:2" x14ac:dyDescent="0.35">
      <c r="A3" s="1" t="s">
        <v>26</v>
      </c>
      <c r="B3" t="s">
        <v>28</v>
      </c>
    </row>
    <row r="4" spans="1:2" x14ac:dyDescent="0.35">
      <c r="A4" s="2" t="s">
        <v>10</v>
      </c>
      <c r="B4" s="3">
        <v>0.51942745836879833</v>
      </c>
    </row>
    <row r="5" spans="1:2" x14ac:dyDescent="0.35">
      <c r="A5" s="2" t="s">
        <v>25</v>
      </c>
      <c r="B5" s="3">
        <v>0.48057254163120172</v>
      </c>
    </row>
    <row r="6" spans="1:2" x14ac:dyDescent="0.35">
      <c r="A6" s="2" t="s">
        <v>27</v>
      </c>
      <c r="B6" s="3">
        <v>1</v>
      </c>
    </row>
    <row r="9" spans="1:2" x14ac:dyDescent="0.35">
      <c r="A9" s="1" t="s">
        <v>26</v>
      </c>
      <c r="B9" t="s">
        <v>28</v>
      </c>
    </row>
    <row r="10" spans="1:2" x14ac:dyDescent="0.35">
      <c r="A10" s="2" t="s">
        <v>21</v>
      </c>
      <c r="B10" s="3">
        <v>0.32370160787318714</v>
      </c>
    </row>
    <row r="11" spans="1:2" x14ac:dyDescent="0.35">
      <c r="A11" s="2" t="s">
        <v>16</v>
      </c>
      <c r="B11" s="3">
        <v>0.34523906437038571</v>
      </c>
    </row>
    <row r="12" spans="1:2" x14ac:dyDescent="0.35">
      <c r="A12" s="2" t="s">
        <v>12</v>
      </c>
      <c r="B12" s="3">
        <v>0.33105932775642716</v>
      </c>
    </row>
    <row r="13" spans="1:2" x14ac:dyDescent="0.35">
      <c r="A13" s="2" t="s">
        <v>27</v>
      </c>
      <c r="B13" s="3">
        <v>1</v>
      </c>
    </row>
    <row r="15" spans="1:2" x14ac:dyDescent="0.35">
      <c r="A15" s="1" t="s">
        <v>26</v>
      </c>
      <c r="B15" t="s">
        <v>28</v>
      </c>
    </row>
    <row r="16" spans="1:2" x14ac:dyDescent="0.35">
      <c r="A16" s="2" t="s">
        <v>15</v>
      </c>
      <c r="B16" s="3">
        <v>0.34523906437038571</v>
      </c>
    </row>
    <row r="17" spans="1:4" x14ac:dyDescent="0.35">
      <c r="A17" s="2" t="s">
        <v>11</v>
      </c>
      <c r="B17" s="3">
        <v>0.33105932775642716</v>
      </c>
    </row>
    <row r="18" spans="1:4" x14ac:dyDescent="0.35">
      <c r="A18" s="2" t="s">
        <v>20</v>
      </c>
      <c r="B18" s="3">
        <v>0.32370160787318714</v>
      </c>
    </row>
    <row r="19" spans="1:4" x14ac:dyDescent="0.35">
      <c r="A19" s="2" t="s">
        <v>27</v>
      </c>
      <c r="B19" s="3">
        <v>1</v>
      </c>
    </row>
    <row r="21" spans="1:4" x14ac:dyDescent="0.35">
      <c r="A21" t="s">
        <v>30</v>
      </c>
    </row>
    <row r="22" spans="1:4" x14ac:dyDescent="0.35">
      <c r="A22" s="4">
        <v>351498.77149999962</v>
      </c>
    </row>
    <row r="27" spans="1:4" x14ac:dyDescent="0.35">
      <c r="A27" s="1" t="s">
        <v>28</v>
      </c>
      <c r="B27" s="1" t="s">
        <v>29</v>
      </c>
    </row>
    <row r="28" spans="1:4" x14ac:dyDescent="0.35">
      <c r="A28" s="1" t="s">
        <v>26</v>
      </c>
      <c r="B28" t="s">
        <v>10</v>
      </c>
      <c r="C28" t="s">
        <v>25</v>
      </c>
      <c r="D28" t="s">
        <v>27</v>
      </c>
    </row>
    <row r="29" spans="1:4" x14ac:dyDescent="0.35">
      <c r="A29" s="2" t="s">
        <v>22</v>
      </c>
      <c r="B29" s="4">
        <v>34919.487999999998</v>
      </c>
      <c r="C29" s="4">
        <v>23898.941999999992</v>
      </c>
      <c r="D29" s="4">
        <v>58818.429999999993</v>
      </c>
    </row>
    <row r="30" spans="1:4" x14ac:dyDescent="0.35">
      <c r="A30" s="2" t="s">
        <v>23</v>
      </c>
      <c r="B30" s="4">
        <v>34430.9755</v>
      </c>
      <c r="C30" s="4">
        <v>27624.901500000004</v>
      </c>
      <c r="D30" s="4">
        <v>62055.877000000008</v>
      </c>
    </row>
    <row r="31" spans="1:4" x14ac:dyDescent="0.35">
      <c r="A31" s="2" t="s">
        <v>19</v>
      </c>
      <c r="B31" s="4">
        <v>32458.09350000001</v>
      </c>
      <c r="C31" s="4">
        <v>26490.182999999994</v>
      </c>
      <c r="D31" s="4">
        <v>58948.276500000007</v>
      </c>
    </row>
    <row r="32" spans="1:4" x14ac:dyDescent="0.35">
      <c r="A32" s="2" t="s">
        <v>24</v>
      </c>
      <c r="B32" s="4">
        <v>31059.773999999994</v>
      </c>
      <c r="C32" s="4">
        <v>28919.448000000011</v>
      </c>
      <c r="D32" s="4">
        <v>59979.222000000009</v>
      </c>
    </row>
    <row r="33" spans="1:5" x14ac:dyDescent="0.35">
      <c r="A33" s="2" t="s">
        <v>18</v>
      </c>
      <c r="B33" s="4">
        <v>28753.815000000002</v>
      </c>
      <c r="C33" s="4">
        <v>29199.848999999991</v>
      </c>
      <c r="D33" s="4">
        <v>57953.66399999999</v>
      </c>
    </row>
    <row r="34" spans="1:5" x14ac:dyDescent="0.35">
      <c r="A34" s="2" t="s">
        <v>14</v>
      </c>
      <c r="B34" s="4">
        <v>20955.967499999999</v>
      </c>
      <c r="C34" s="4">
        <v>32787.334499999997</v>
      </c>
      <c r="D34" s="4">
        <v>53743.301999999996</v>
      </c>
    </row>
    <row r="35" spans="1:5" x14ac:dyDescent="0.35">
      <c r="A35" s="2" t="s">
        <v>27</v>
      </c>
      <c r="B35" s="4">
        <v>182578.11350000001</v>
      </c>
      <c r="C35" s="4">
        <v>168920.658</v>
      </c>
      <c r="D35" s="4">
        <v>351498.77149999997</v>
      </c>
    </row>
    <row r="39" spans="1:5" x14ac:dyDescent="0.35">
      <c r="A39" s="1" t="s">
        <v>28</v>
      </c>
      <c r="B39" s="1" t="s">
        <v>29</v>
      </c>
    </row>
    <row r="40" spans="1:5" x14ac:dyDescent="0.35">
      <c r="A40" s="1" t="s">
        <v>26</v>
      </c>
      <c r="B40" t="s">
        <v>21</v>
      </c>
      <c r="C40" t="s">
        <v>16</v>
      </c>
      <c r="D40" t="s">
        <v>12</v>
      </c>
      <c r="E40" t="s">
        <v>27</v>
      </c>
    </row>
    <row r="41" spans="1:5" x14ac:dyDescent="0.35">
      <c r="A41" s="2" t="s">
        <v>14</v>
      </c>
      <c r="B41" s="4">
        <v>22006.604999999996</v>
      </c>
      <c r="C41" s="4">
        <v>18013.075500000003</v>
      </c>
      <c r="D41" s="4">
        <v>13723.621500000003</v>
      </c>
      <c r="E41" s="4">
        <v>53743.302000000003</v>
      </c>
    </row>
    <row r="42" spans="1:5" x14ac:dyDescent="0.35">
      <c r="A42" s="2" t="s">
        <v>18</v>
      </c>
      <c r="B42" s="4">
        <v>18474.775499999996</v>
      </c>
      <c r="C42" s="4">
        <v>20685.368999999995</v>
      </c>
      <c r="D42" s="4">
        <v>18793.519500000002</v>
      </c>
      <c r="E42" s="4">
        <v>57953.663999999997</v>
      </c>
    </row>
    <row r="43" spans="1:5" x14ac:dyDescent="0.35">
      <c r="A43" s="2" t="s">
        <v>22</v>
      </c>
      <c r="B43" s="4">
        <v>16094.194</v>
      </c>
      <c r="C43" s="4">
        <v>24751.113000000001</v>
      </c>
      <c r="D43" s="4">
        <v>17973.122999999996</v>
      </c>
      <c r="E43" s="4">
        <v>58818.429999999993</v>
      </c>
    </row>
    <row r="44" spans="1:5" x14ac:dyDescent="0.35">
      <c r="A44" s="2" t="s">
        <v>19</v>
      </c>
      <c r="B44" s="4">
        <v>18494.272499999992</v>
      </c>
      <c r="C44" s="4">
        <v>15436.226999999999</v>
      </c>
      <c r="D44" s="4">
        <v>25017.777000000006</v>
      </c>
      <c r="E44" s="4">
        <v>58948.276499999993</v>
      </c>
    </row>
    <row r="45" spans="1:5" x14ac:dyDescent="0.35">
      <c r="A45" s="2" t="s">
        <v>24</v>
      </c>
      <c r="B45" s="4">
        <v>20830.491000000005</v>
      </c>
      <c r="C45" s="4">
        <v>17262.898499999999</v>
      </c>
      <c r="D45" s="4">
        <v>21885.832499999997</v>
      </c>
      <c r="E45" s="4">
        <v>59979.222000000002</v>
      </c>
    </row>
    <row r="46" spans="1:5" x14ac:dyDescent="0.35">
      <c r="A46" s="2" t="s">
        <v>23</v>
      </c>
      <c r="B46" s="4">
        <v>17880.379500000003</v>
      </c>
      <c r="C46" s="4">
        <v>25202.423999999992</v>
      </c>
      <c r="D46" s="4">
        <v>18973.073500000002</v>
      </c>
      <c r="E46" s="4">
        <v>62055.876999999993</v>
      </c>
    </row>
    <row r="47" spans="1:5" x14ac:dyDescent="0.35">
      <c r="A47" s="2" t="s">
        <v>27</v>
      </c>
      <c r="B47" s="4">
        <v>113780.7175</v>
      </c>
      <c r="C47" s="4">
        <v>121351.10699999999</v>
      </c>
      <c r="D47" s="4">
        <v>116366.94700000001</v>
      </c>
      <c r="E47" s="4">
        <v>351498.77149999997</v>
      </c>
    </row>
    <row r="51" spans="1:2" x14ac:dyDescent="0.35">
      <c r="A51" s="1" t="s">
        <v>26</v>
      </c>
      <c r="B51" t="s">
        <v>28</v>
      </c>
    </row>
    <row r="52" spans="1:2" x14ac:dyDescent="0.35">
      <c r="A52" s="2" t="s">
        <v>13</v>
      </c>
      <c r="B52" s="3">
        <v>0.50984079897417223</v>
      </c>
    </row>
    <row r="53" spans="1:2" x14ac:dyDescent="0.35">
      <c r="A53" s="2" t="s">
        <v>17</v>
      </c>
      <c r="B53" s="3">
        <v>0.49015920102582777</v>
      </c>
    </row>
    <row r="54" spans="1:2" x14ac:dyDescent="0.35">
      <c r="A54" s="2" t="s">
        <v>27</v>
      </c>
      <c r="B54" s="3">
        <v>1</v>
      </c>
    </row>
    <row r="59" spans="1:2" x14ac:dyDescent="0.35">
      <c r="A59" s="1" t="s">
        <v>26</v>
      </c>
      <c r="B59" t="s">
        <v>28</v>
      </c>
    </row>
    <row r="60" spans="1:2" x14ac:dyDescent="0.35">
      <c r="A60" s="2" t="s">
        <v>14</v>
      </c>
      <c r="B60" s="4">
        <v>53743.302000000011</v>
      </c>
    </row>
    <row r="61" spans="1:2" x14ac:dyDescent="0.35">
      <c r="A61" s="2" t="s">
        <v>18</v>
      </c>
      <c r="B61" s="4">
        <v>57953.664000000004</v>
      </c>
    </row>
    <row r="62" spans="1:2" x14ac:dyDescent="0.35">
      <c r="A62" s="2" t="s">
        <v>22</v>
      </c>
      <c r="B62" s="4">
        <v>58818.430000000008</v>
      </c>
    </row>
    <row r="63" spans="1:2" x14ac:dyDescent="0.35">
      <c r="A63" s="2" t="s">
        <v>19</v>
      </c>
      <c r="B63" s="4">
        <v>58948.276500000007</v>
      </c>
    </row>
    <row r="64" spans="1:2" x14ac:dyDescent="0.35">
      <c r="A64" s="2" t="s">
        <v>24</v>
      </c>
      <c r="B64" s="4">
        <v>59979.222000000002</v>
      </c>
    </row>
    <row r="65" spans="1:2" x14ac:dyDescent="0.35">
      <c r="A65" s="2" t="s">
        <v>23</v>
      </c>
      <c r="B65" s="4">
        <v>62055.877</v>
      </c>
    </row>
    <row r="66" spans="1:2" x14ac:dyDescent="0.35">
      <c r="A66" s="2" t="s">
        <v>27</v>
      </c>
      <c r="B66" s="4">
        <v>351498.77150000009</v>
      </c>
    </row>
    <row r="70" spans="1:2" x14ac:dyDescent="0.35">
      <c r="A70" t="s">
        <v>31</v>
      </c>
    </row>
    <row r="71" spans="1:2" x14ac:dyDescent="0.35">
      <c r="A71" s="4">
        <v>307587.37999999989</v>
      </c>
    </row>
  </sheetData>
  <pageMargins left="0.7" right="0.7" top="0.75" bottom="0.75" header="0.3" footer="0.3"/>
  <pageSetup orientation="portrait"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419C7-B8E4-4D50-9F01-B5DCD316C591}">
  <dimension ref="A1:O25"/>
  <sheetViews>
    <sheetView tabSelected="1" zoomScale="101" workbookViewId="0">
      <selection activeCell="N23" sqref="N23"/>
    </sheetView>
  </sheetViews>
  <sheetFormatPr defaultRowHeight="14.5" x14ac:dyDescent="0.35"/>
  <sheetData>
    <row r="1" spans="1:15" ht="14.5" customHeight="1" x14ac:dyDescent="0.35">
      <c r="A1" s="8" t="s">
        <v>32</v>
      </c>
      <c r="B1" s="9"/>
      <c r="C1" s="9"/>
      <c r="D1" s="9"/>
      <c r="E1" s="9"/>
      <c r="F1" s="9"/>
      <c r="G1" s="9"/>
      <c r="H1" s="6"/>
      <c r="I1" s="6"/>
      <c r="J1" s="6"/>
      <c r="K1" s="6"/>
      <c r="L1" s="6"/>
      <c r="M1" s="6"/>
    </row>
    <row r="2" spans="1:15" ht="14.5" customHeight="1" x14ac:dyDescent="0.35">
      <c r="A2" s="9"/>
      <c r="B2" s="9"/>
      <c r="C2" s="9"/>
      <c r="D2" s="9"/>
      <c r="E2" s="9"/>
      <c r="F2" s="9"/>
      <c r="G2" s="9"/>
      <c r="H2" s="6"/>
      <c r="I2" s="6"/>
      <c r="J2" s="6"/>
      <c r="K2" s="6"/>
      <c r="L2" s="6"/>
      <c r="M2" s="6"/>
    </row>
    <row r="3" spans="1:15" x14ac:dyDescent="0.35">
      <c r="A3" s="5"/>
      <c r="B3" s="5"/>
      <c r="C3" s="5"/>
      <c r="D3" s="5"/>
      <c r="E3" s="5"/>
      <c r="F3" s="5"/>
      <c r="G3" s="5"/>
      <c r="H3" s="5"/>
      <c r="I3" s="5"/>
      <c r="J3" s="5"/>
      <c r="K3" s="5"/>
      <c r="L3" s="5"/>
      <c r="M3" s="5"/>
    </row>
    <row r="4" spans="1:15" x14ac:dyDescent="0.35">
      <c r="A4" s="5"/>
      <c r="B4" s="5"/>
      <c r="C4" s="5"/>
      <c r="D4" s="5"/>
      <c r="E4" s="5"/>
      <c r="F4" s="5"/>
      <c r="G4" s="5"/>
      <c r="H4" s="5"/>
      <c r="I4" s="5"/>
      <c r="J4" s="5"/>
      <c r="K4" s="5"/>
      <c r="L4" s="5"/>
      <c r="M4" s="5"/>
    </row>
    <row r="5" spans="1:15" x14ac:dyDescent="0.35">
      <c r="A5" s="5"/>
      <c r="B5" s="5"/>
      <c r="C5" s="5"/>
      <c r="D5" s="5"/>
      <c r="E5" s="5"/>
      <c r="F5" s="5"/>
      <c r="G5" s="5"/>
      <c r="H5" s="5"/>
      <c r="I5" s="5"/>
      <c r="J5" s="5"/>
      <c r="K5" s="5"/>
      <c r="L5" s="5"/>
      <c r="M5" s="5"/>
    </row>
    <row r="6" spans="1:15" x14ac:dyDescent="0.35">
      <c r="A6" s="5"/>
      <c r="B6" s="5"/>
      <c r="C6" s="5"/>
      <c r="D6" s="5"/>
      <c r="E6" s="5"/>
      <c r="F6" s="5"/>
      <c r="G6" s="5"/>
      <c r="H6" s="5"/>
      <c r="I6" s="5"/>
      <c r="J6" s="5"/>
      <c r="K6" s="5"/>
      <c r="L6" s="5"/>
      <c r="M6" s="5"/>
    </row>
    <row r="7" spans="1:15" x14ac:dyDescent="0.35">
      <c r="A7" s="5"/>
      <c r="B7" s="5"/>
      <c r="C7" s="5"/>
      <c r="D7" s="5"/>
      <c r="E7" s="5"/>
      <c r="F7" s="5"/>
      <c r="G7" s="5"/>
      <c r="H7" s="5"/>
      <c r="I7" s="5"/>
      <c r="J7" s="5"/>
      <c r="K7" s="5"/>
      <c r="L7" s="5"/>
      <c r="M7" s="5"/>
    </row>
    <row r="8" spans="1:15" x14ac:dyDescent="0.35">
      <c r="A8" s="5"/>
      <c r="B8" s="5"/>
      <c r="C8" s="5"/>
      <c r="D8" s="5"/>
      <c r="E8" s="5"/>
      <c r="F8" s="5"/>
      <c r="G8" s="5"/>
      <c r="H8" s="5"/>
      <c r="I8" s="5"/>
      <c r="J8" s="5"/>
      <c r="K8" s="5"/>
      <c r="L8" s="5"/>
      <c r="M8" s="5"/>
    </row>
    <row r="9" spans="1:15" x14ac:dyDescent="0.35">
      <c r="A9" s="5"/>
      <c r="B9" s="5"/>
      <c r="C9" s="5"/>
      <c r="D9" s="5"/>
      <c r="E9" s="5"/>
      <c r="F9" s="5"/>
      <c r="G9" s="5"/>
      <c r="H9" s="5"/>
      <c r="I9" s="5"/>
      <c r="J9" s="5"/>
      <c r="K9" s="5"/>
      <c r="L9" s="5"/>
      <c r="M9" s="5"/>
    </row>
    <row r="10" spans="1:15" x14ac:dyDescent="0.35">
      <c r="A10" s="5"/>
      <c r="B10" s="5"/>
      <c r="C10" s="5"/>
      <c r="D10" s="5"/>
      <c r="E10" s="5"/>
      <c r="F10" s="5"/>
      <c r="G10" s="5"/>
      <c r="H10" s="5"/>
      <c r="I10" s="5"/>
      <c r="J10" s="5"/>
      <c r="K10" s="5"/>
      <c r="L10" s="5"/>
      <c r="M10" s="5"/>
      <c r="O10" s="7"/>
    </row>
    <row r="11" spans="1:15" x14ac:dyDescent="0.35">
      <c r="A11" s="5"/>
      <c r="B11" s="5"/>
      <c r="C11" s="5"/>
      <c r="D11" s="5"/>
      <c r="E11" s="5"/>
      <c r="F11" s="5"/>
      <c r="G11" s="5"/>
      <c r="H11" s="5"/>
      <c r="I11" s="5"/>
      <c r="J11" s="5"/>
      <c r="K11" s="5"/>
      <c r="L11" s="5"/>
      <c r="M11" s="5"/>
    </row>
    <row r="12" spans="1:15" x14ac:dyDescent="0.35">
      <c r="A12" s="5"/>
      <c r="B12" s="5"/>
      <c r="C12" s="5"/>
      <c r="D12" s="5"/>
      <c r="E12" s="5"/>
      <c r="F12" s="5"/>
      <c r="G12" s="5"/>
      <c r="H12" s="5"/>
      <c r="I12" s="5"/>
      <c r="J12" s="5"/>
      <c r="K12" s="5"/>
      <c r="L12" s="5"/>
      <c r="M12" s="5"/>
    </row>
    <row r="13" spans="1:15" x14ac:dyDescent="0.35">
      <c r="A13" s="5"/>
      <c r="B13" s="5"/>
      <c r="C13" s="5"/>
      <c r="D13" s="5"/>
      <c r="E13" s="5"/>
      <c r="F13" s="5"/>
      <c r="G13" s="5"/>
      <c r="H13" s="5"/>
      <c r="I13" s="5"/>
      <c r="J13" s="5"/>
      <c r="K13" s="5"/>
      <c r="L13" s="5"/>
      <c r="M13" s="5"/>
    </row>
    <row r="14" spans="1:15" x14ac:dyDescent="0.35">
      <c r="A14" s="5"/>
      <c r="B14" s="5"/>
      <c r="C14" s="5"/>
      <c r="D14" s="5"/>
      <c r="E14" s="5"/>
      <c r="F14" s="5"/>
      <c r="G14" s="5"/>
      <c r="H14" s="5"/>
      <c r="I14" s="5"/>
      <c r="J14" s="5"/>
      <c r="K14" s="5"/>
      <c r="L14" s="5"/>
      <c r="M14" s="5"/>
    </row>
    <row r="15" spans="1:15" x14ac:dyDescent="0.35">
      <c r="A15" s="5"/>
      <c r="B15" s="5"/>
      <c r="C15" s="5"/>
      <c r="D15" s="5"/>
      <c r="E15" s="5"/>
      <c r="F15" s="5"/>
      <c r="G15" s="5"/>
      <c r="H15" s="5"/>
      <c r="I15" s="5"/>
      <c r="J15" s="5"/>
      <c r="K15" s="5"/>
      <c r="L15" s="5"/>
      <c r="M15" s="5"/>
    </row>
    <row r="16" spans="1:15" x14ac:dyDescent="0.35">
      <c r="A16" s="5"/>
      <c r="B16" s="5"/>
      <c r="C16" s="5"/>
      <c r="D16" s="5"/>
      <c r="E16" s="5"/>
      <c r="F16" s="5"/>
      <c r="G16" s="5"/>
      <c r="H16" s="5"/>
      <c r="I16" s="5"/>
      <c r="J16" s="5"/>
      <c r="K16" s="5"/>
      <c r="L16" s="5"/>
      <c r="M16" s="5"/>
    </row>
    <row r="17" spans="1:13" x14ac:dyDescent="0.35">
      <c r="A17" s="5"/>
      <c r="B17" s="5"/>
      <c r="C17" s="5"/>
      <c r="D17" s="5"/>
      <c r="E17" s="5"/>
      <c r="F17" s="5"/>
      <c r="G17" s="5"/>
      <c r="H17" s="5"/>
      <c r="I17" s="5"/>
      <c r="J17" s="5"/>
      <c r="K17" s="5"/>
      <c r="L17" s="5"/>
      <c r="M17" s="5"/>
    </row>
    <row r="18" spans="1:13" x14ac:dyDescent="0.35">
      <c r="A18" s="5"/>
      <c r="B18" s="5"/>
      <c r="C18" s="5"/>
      <c r="D18" s="5"/>
      <c r="E18" s="5"/>
      <c r="F18" s="5"/>
      <c r="G18" s="5"/>
      <c r="H18" s="5"/>
      <c r="I18" s="5"/>
      <c r="J18" s="5"/>
      <c r="K18" s="5"/>
      <c r="L18" s="5"/>
      <c r="M18" s="5"/>
    </row>
    <row r="19" spans="1:13" x14ac:dyDescent="0.35">
      <c r="A19" s="5"/>
      <c r="B19" s="5"/>
      <c r="C19" s="5"/>
      <c r="D19" s="5"/>
      <c r="E19" s="5"/>
      <c r="F19" s="5"/>
      <c r="G19" s="5"/>
      <c r="H19" s="5"/>
      <c r="I19" s="5"/>
      <c r="J19" s="5"/>
      <c r="K19" s="5"/>
      <c r="L19" s="5"/>
      <c r="M19" s="5"/>
    </row>
    <row r="20" spans="1:13" x14ac:dyDescent="0.35">
      <c r="A20" s="5"/>
      <c r="B20" s="5"/>
      <c r="C20" s="5"/>
      <c r="D20" s="5"/>
      <c r="E20" s="5"/>
      <c r="F20" s="5"/>
      <c r="G20" s="5"/>
      <c r="H20" s="5"/>
      <c r="I20" s="5"/>
      <c r="J20" s="5"/>
      <c r="K20" s="5"/>
      <c r="L20" s="5"/>
      <c r="M20" s="5"/>
    </row>
    <row r="21" spans="1:13" x14ac:dyDescent="0.35">
      <c r="A21" s="5"/>
      <c r="B21" s="5"/>
      <c r="C21" s="5"/>
      <c r="D21" s="5"/>
      <c r="E21" s="5"/>
      <c r="F21" s="5"/>
      <c r="G21" s="5"/>
      <c r="H21" s="5"/>
      <c r="I21" s="5"/>
      <c r="J21" s="5"/>
      <c r="K21" s="5"/>
      <c r="L21" s="5"/>
      <c r="M21" s="5"/>
    </row>
    <row r="22" spans="1:13" x14ac:dyDescent="0.35">
      <c r="A22" s="5"/>
      <c r="B22" s="5"/>
      <c r="C22" s="5"/>
      <c r="D22" s="5"/>
      <c r="E22" s="5"/>
      <c r="F22" s="5"/>
      <c r="G22" s="5"/>
      <c r="H22" s="5"/>
      <c r="I22" s="5"/>
      <c r="J22" s="5"/>
      <c r="K22" s="5"/>
      <c r="L22" s="5"/>
      <c r="M22" s="5"/>
    </row>
    <row r="23" spans="1:13" x14ac:dyDescent="0.35">
      <c r="A23" s="5"/>
      <c r="B23" s="5"/>
      <c r="C23" s="5"/>
      <c r="D23" s="5"/>
      <c r="E23" s="5"/>
      <c r="F23" s="5"/>
      <c r="G23" s="5"/>
      <c r="H23" s="5"/>
      <c r="I23" s="5"/>
      <c r="J23" s="5"/>
      <c r="K23" s="5"/>
      <c r="L23" s="5"/>
      <c r="M23" s="5"/>
    </row>
    <row r="24" spans="1:13" x14ac:dyDescent="0.35">
      <c r="A24" s="5"/>
      <c r="B24" s="5"/>
      <c r="C24" s="5"/>
      <c r="D24" s="5"/>
      <c r="E24" s="5"/>
      <c r="F24" s="5"/>
      <c r="G24" s="5"/>
      <c r="H24" s="5"/>
      <c r="I24" s="5"/>
      <c r="J24" s="5"/>
      <c r="K24" s="5"/>
      <c r="L24" s="5"/>
      <c r="M24" s="5"/>
    </row>
    <row r="25" spans="1:13" x14ac:dyDescent="0.35">
      <c r="A25" s="5"/>
      <c r="B25" s="5"/>
      <c r="C25" s="5"/>
      <c r="D25" s="5"/>
      <c r="E25" s="5"/>
      <c r="F25" s="5"/>
      <c r="G25" s="5"/>
      <c r="H25" s="5"/>
      <c r="I25" s="5"/>
      <c r="J25" s="5"/>
      <c r="K25" s="5"/>
      <c r="L25" s="5"/>
      <c r="M25" s="5"/>
    </row>
  </sheetData>
  <mergeCells count="1">
    <mergeCell ref="A1:G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1BA44-85A7-4AB9-A01C-640D5D094803}">
  <dimension ref="A1:J1001"/>
  <sheetViews>
    <sheetView workbookViewId="0">
      <selection activeCell="B1" sqref="A1:J1001"/>
    </sheetView>
  </sheetViews>
  <sheetFormatPr defaultRowHeight="14.5" x14ac:dyDescent="0.35"/>
  <sheetData>
    <row r="1" spans="1:10" x14ac:dyDescent="0.35">
      <c r="A1" t="s">
        <v>0</v>
      </c>
      <c r="B1" t="s">
        <v>1</v>
      </c>
      <c r="C1" t="s">
        <v>2</v>
      </c>
      <c r="D1" t="s">
        <v>3</v>
      </c>
      <c r="E1" t="s">
        <v>4</v>
      </c>
      <c r="F1" t="s">
        <v>5</v>
      </c>
      <c r="G1" t="s">
        <v>6</v>
      </c>
      <c r="H1" t="s">
        <v>7</v>
      </c>
      <c r="I1" t="s">
        <v>8</v>
      </c>
      <c r="J1" t="s">
        <v>9</v>
      </c>
    </row>
    <row r="2" spans="1:10" x14ac:dyDescent="0.35">
      <c r="A2" t="s">
        <v>10</v>
      </c>
      <c r="B2" t="s">
        <v>11</v>
      </c>
      <c r="C2" t="s">
        <v>12</v>
      </c>
      <c r="D2" t="s">
        <v>13</v>
      </c>
      <c r="E2" t="s">
        <v>14</v>
      </c>
      <c r="F2">
        <v>74.69</v>
      </c>
      <c r="G2">
        <v>7</v>
      </c>
      <c r="H2">
        <v>261.41500000000002</v>
      </c>
      <c r="I2">
        <f>F2*G2</f>
        <v>522.82999999999993</v>
      </c>
      <c r="J2">
        <v>784.24499999999989</v>
      </c>
    </row>
    <row r="3" spans="1:10" x14ac:dyDescent="0.35">
      <c r="A3" t="s">
        <v>10</v>
      </c>
      <c r="B3" t="s">
        <v>15</v>
      </c>
      <c r="C3" t="s">
        <v>16</v>
      </c>
      <c r="D3" t="s">
        <v>17</v>
      </c>
      <c r="E3" t="s">
        <v>18</v>
      </c>
      <c r="F3">
        <v>15.28</v>
      </c>
      <c r="G3">
        <v>5</v>
      </c>
      <c r="H3">
        <v>3.82</v>
      </c>
      <c r="I3">
        <f t="shared" ref="I3:I66" si="0">F3*G3</f>
        <v>76.399999999999991</v>
      </c>
      <c r="J3">
        <v>80.219999999999985</v>
      </c>
    </row>
    <row r="4" spans="1:10" x14ac:dyDescent="0.35">
      <c r="A4" t="s">
        <v>10</v>
      </c>
      <c r="B4" t="s">
        <v>11</v>
      </c>
      <c r="C4" t="s">
        <v>12</v>
      </c>
      <c r="D4" t="s">
        <v>13</v>
      </c>
      <c r="E4" t="s">
        <v>18</v>
      </c>
      <c r="F4">
        <v>68.84</v>
      </c>
      <c r="G4">
        <v>6</v>
      </c>
      <c r="H4">
        <v>20.652000000000001</v>
      </c>
      <c r="I4">
        <f t="shared" si="0"/>
        <v>413.04</v>
      </c>
      <c r="J4">
        <v>433.69200000000001</v>
      </c>
    </row>
    <row r="5" spans="1:10" x14ac:dyDescent="0.35">
      <c r="A5" t="s">
        <v>10</v>
      </c>
      <c r="B5" t="s">
        <v>15</v>
      </c>
      <c r="C5" t="s">
        <v>16</v>
      </c>
      <c r="D5" t="s">
        <v>17</v>
      </c>
      <c r="E5" t="s">
        <v>19</v>
      </c>
      <c r="F5">
        <v>73.56</v>
      </c>
      <c r="G5">
        <v>10</v>
      </c>
      <c r="H5">
        <v>36.78</v>
      </c>
      <c r="I5">
        <f t="shared" si="0"/>
        <v>735.6</v>
      </c>
      <c r="J5">
        <v>772.38</v>
      </c>
    </row>
    <row r="6" spans="1:10" x14ac:dyDescent="0.35">
      <c r="A6" t="s">
        <v>10</v>
      </c>
      <c r="B6" t="s">
        <v>11</v>
      </c>
      <c r="C6" t="s">
        <v>12</v>
      </c>
      <c r="D6" t="s">
        <v>13</v>
      </c>
      <c r="E6" t="s">
        <v>14</v>
      </c>
      <c r="F6">
        <v>36.26</v>
      </c>
      <c r="G6">
        <v>2</v>
      </c>
      <c r="H6">
        <v>3.6259999999999999</v>
      </c>
      <c r="I6">
        <f t="shared" si="0"/>
        <v>72.52</v>
      </c>
      <c r="J6">
        <v>76.146000000000001</v>
      </c>
    </row>
    <row r="7" spans="1:10" x14ac:dyDescent="0.35">
      <c r="A7" t="s">
        <v>10</v>
      </c>
      <c r="B7" t="s">
        <v>20</v>
      </c>
      <c r="C7" t="s">
        <v>21</v>
      </c>
      <c r="D7" t="s">
        <v>13</v>
      </c>
      <c r="E7" t="s">
        <v>22</v>
      </c>
      <c r="F7">
        <v>54.84</v>
      </c>
      <c r="G7">
        <v>3</v>
      </c>
      <c r="H7">
        <v>8.2260000000000009</v>
      </c>
      <c r="I7">
        <f t="shared" si="0"/>
        <v>164.52</v>
      </c>
      <c r="J7">
        <v>172.74600000000001</v>
      </c>
    </row>
    <row r="8" spans="1:10" x14ac:dyDescent="0.35">
      <c r="A8" t="s">
        <v>10</v>
      </c>
      <c r="B8" t="s">
        <v>20</v>
      </c>
      <c r="C8" t="s">
        <v>21</v>
      </c>
      <c r="D8" t="s">
        <v>13</v>
      </c>
      <c r="E8" t="s">
        <v>23</v>
      </c>
      <c r="F8">
        <v>14.48</v>
      </c>
      <c r="G8">
        <v>4</v>
      </c>
      <c r="H8">
        <v>2.8959999999999999</v>
      </c>
      <c r="I8">
        <f t="shared" si="0"/>
        <v>57.92</v>
      </c>
      <c r="J8">
        <v>60.816000000000003</v>
      </c>
    </row>
    <row r="9" spans="1:10" x14ac:dyDescent="0.35">
      <c r="A9" t="s">
        <v>10</v>
      </c>
      <c r="B9" t="s">
        <v>11</v>
      </c>
      <c r="C9" t="s">
        <v>12</v>
      </c>
      <c r="D9" t="s">
        <v>17</v>
      </c>
      <c r="E9" t="s">
        <v>18</v>
      </c>
      <c r="F9">
        <v>46.95</v>
      </c>
      <c r="G9">
        <v>5</v>
      </c>
      <c r="H9">
        <v>11.737500000000001</v>
      </c>
      <c r="I9">
        <f t="shared" si="0"/>
        <v>234.75</v>
      </c>
      <c r="J9">
        <v>246.48750000000001</v>
      </c>
    </row>
    <row r="10" spans="1:10" x14ac:dyDescent="0.35">
      <c r="A10" t="s">
        <v>10</v>
      </c>
      <c r="B10" t="s">
        <v>11</v>
      </c>
      <c r="C10" t="s">
        <v>12</v>
      </c>
      <c r="D10" t="s">
        <v>17</v>
      </c>
      <c r="E10" t="s">
        <v>14</v>
      </c>
      <c r="F10">
        <v>71.38</v>
      </c>
      <c r="G10">
        <v>10</v>
      </c>
      <c r="H10">
        <v>35.69</v>
      </c>
      <c r="I10">
        <f t="shared" si="0"/>
        <v>713.8</v>
      </c>
      <c r="J10">
        <v>749.49</v>
      </c>
    </row>
    <row r="11" spans="1:10" x14ac:dyDescent="0.35">
      <c r="A11" t="s">
        <v>10</v>
      </c>
      <c r="B11" t="s">
        <v>20</v>
      </c>
      <c r="C11" t="s">
        <v>21</v>
      </c>
      <c r="D11" t="s">
        <v>13</v>
      </c>
      <c r="E11" t="s">
        <v>24</v>
      </c>
      <c r="F11">
        <v>93.72</v>
      </c>
      <c r="G11">
        <v>6</v>
      </c>
      <c r="H11">
        <v>28.116</v>
      </c>
      <c r="I11">
        <f t="shared" si="0"/>
        <v>562.31999999999994</v>
      </c>
      <c r="J11">
        <v>590.43599999999992</v>
      </c>
    </row>
    <row r="12" spans="1:10" x14ac:dyDescent="0.35">
      <c r="A12" t="s">
        <v>10</v>
      </c>
      <c r="B12" t="s">
        <v>11</v>
      </c>
      <c r="C12" t="s">
        <v>12</v>
      </c>
      <c r="D12" t="s">
        <v>13</v>
      </c>
      <c r="E12" t="s">
        <v>14</v>
      </c>
      <c r="F12">
        <v>68.930000000000007</v>
      </c>
      <c r="G12">
        <v>7</v>
      </c>
      <c r="H12">
        <v>241.255</v>
      </c>
      <c r="I12">
        <f t="shared" si="0"/>
        <v>482.51000000000005</v>
      </c>
      <c r="J12">
        <v>723.7650000000001</v>
      </c>
    </row>
    <row r="13" spans="1:10" x14ac:dyDescent="0.35">
      <c r="A13" t="s">
        <v>10</v>
      </c>
      <c r="B13" t="s">
        <v>20</v>
      </c>
      <c r="C13" t="s">
        <v>21</v>
      </c>
      <c r="D13" t="s">
        <v>17</v>
      </c>
      <c r="E13" t="s">
        <v>19</v>
      </c>
      <c r="F13">
        <v>40.299999999999997</v>
      </c>
      <c r="G13">
        <v>2</v>
      </c>
      <c r="H13">
        <v>4.03</v>
      </c>
      <c r="I13">
        <f t="shared" si="0"/>
        <v>80.599999999999994</v>
      </c>
      <c r="J13">
        <v>84.63</v>
      </c>
    </row>
    <row r="14" spans="1:10" x14ac:dyDescent="0.35">
      <c r="A14" t="s">
        <v>10</v>
      </c>
      <c r="B14" t="s">
        <v>11</v>
      </c>
      <c r="C14" t="s">
        <v>12</v>
      </c>
      <c r="D14" t="s">
        <v>13</v>
      </c>
      <c r="E14" t="s">
        <v>19</v>
      </c>
      <c r="F14">
        <v>52.59</v>
      </c>
      <c r="G14">
        <v>8</v>
      </c>
      <c r="H14">
        <v>21.036000000000001</v>
      </c>
      <c r="I14">
        <f t="shared" si="0"/>
        <v>420.72</v>
      </c>
      <c r="J14">
        <v>441.75600000000003</v>
      </c>
    </row>
    <row r="15" spans="1:10" x14ac:dyDescent="0.35">
      <c r="A15" t="s">
        <v>10</v>
      </c>
      <c r="B15" t="s">
        <v>11</v>
      </c>
      <c r="C15" t="s">
        <v>12</v>
      </c>
      <c r="D15" t="s">
        <v>17</v>
      </c>
      <c r="E15" t="s">
        <v>23</v>
      </c>
      <c r="F15">
        <v>87.67</v>
      </c>
      <c r="G15">
        <v>2</v>
      </c>
      <c r="H15">
        <v>8.7669999999999995</v>
      </c>
      <c r="I15">
        <f t="shared" si="0"/>
        <v>175.34</v>
      </c>
      <c r="J15">
        <v>184.107</v>
      </c>
    </row>
    <row r="16" spans="1:10" x14ac:dyDescent="0.35">
      <c r="A16" t="s">
        <v>10</v>
      </c>
      <c r="B16" t="s">
        <v>20</v>
      </c>
      <c r="C16" t="s">
        <v>21</v>
      </c>
      <c r="D16" t="s">
        <v>17</v>
      </c>
      <c r="E16" t="s">
        <v>22</v>
      </c>
      <c r="F16">
        <v>88.36</v>
      </c>
      <c r="G16">
        <v>5</v>
      </c>
      <c r="H16">
        <v>22.09</v>
      </c>
      <c r="I16">
        <f t="shared" si="0"/>
        <v>441.8</v>
      </c>
      <c r="J16">
        <v>463.89</v>
      </c>
    </row>
    <row r="17" spans="1:10" x14ac:dyDescent="0.35">
      <c r="A17" t="s">
        <v>10</v>
      </c>
      <c r="B17" t="s">
        <v>15</v>
      </c>
      <c r="C17" t="s">
        <v>16</v>
      </c>
      <c r="D17" t="s">
        <v>13</v>
      </c>
      <c r="E17" t="s">
        <v>22</v>
      </c>
      <c r="F17">
        <v>99.42</v>
      </c>
      <c r="G17">
        <v>4</v>
      </c>
      <c r="H17">
        <v>19.884</v>
      </c>
      <c r="I17">
        <f t="shared" si="0"/>
        <v>397.68</v>
      </c>
      <c r="J17">
        <v>417.56400000000002</v>
      </c>
    </row>
    <row r="18" spans="1:10" x14ac:dyDescent="0.35">
      <c r="A18" t="s">
        <v>10</v>
      </c>
      <c r="B18" t="s">
        <v>15</v>
      </c>
      <c r="C18" t="s">
        <v>16</v>
      </c>
      <c r="D18" t="s">
        <v>13</v>
      </c>
      <c r="E18" t="s">
        <v>24</v>
      </c>
      <c r="F18">
        <v>68.12</v>
      </c>
      <c r="G18">
        <v>1</v>
      </c>
      <c r="H18">
        <v>3.4060000000000001</v>
      </c>
      <c r="I18">
        <f t="shared" si="0"/>
        <v>68.12</v>
      </c>
      <c r="J18">
        <v>71.52600000000001</v>
      </c>
    </row>
    <row r="19" spans="1:10" x14ac:dyDescent="0.35">
      <c r="A19" t="s">
        <v>10</v>
      </c>
      <c r="B19" t="s">
        <v>11</v>
      </c>
      <c r="C19" t="s">
        <v>12</v>
      </c>
      <c r="D19" t="s">
        <v>17</v>
      </c>
      <c r="E19" t="s">
        <v>18</v>
      </c>
      <c r="F19">
        <v>60.88</v>
      </c>
      <c r="G19">
        <v>9</v>
      </c>
      <c r="H19">
        <v>27.396000000000001</v>
      </c>
      <c r="I19">
        <f t="shared" si="0"/>
        <v>547.92000000000007</v>
      </c>
      <c r="J19">
        <v>575.31600000000003</v>
      </c>
    </row>
    <row r="20" spans="1:10" x14ac:dyDescent="0.35">
      <c r="A20" t="s">
        <v>10</v>
      </c>
      <c r="B20" t="s">
        <v>15</v>
      </c>
      <c r="C20" t="s">
        <v>16</v>
      </c>
      <c r="D20" t="s">
        <v>17</v>
      </c>
      <c r="E20" t="s">
        <v>14</v>
      </c>
      <c r="F20">
        <v>54.92</v>
      </c>
      <c r="G20">
        <v>8</v>
      </c>
      <c r="H20">
        <v>21.968</v>
      </c>
      <c r="I20">
        <f t="shared" si="0"/>
        <v>439.36</v>
      </c>
      <c r="J20">
        <v>461.32800000000003</v>
      </c>
    </row>
    <row r="21" spans="1:10" x14ac:dyDescent="0.35">
      <c r="A21" t="s">
        <v>10</v>
      </c>
      <c r="B21" t="s">
        <v>20</v>
      </c>
      <c r="C21" t="s">
        <v>21</v>
      </c>
      <c r="D21" t="s">
        <v>13</v>
      </c>
      <c r="E21" t="s">
        <v>19</v>
      </c>
      <c r="F21">
        <v>86.72</v>
      </c>
      <c r="G21">
        <v>1</v>
      </c>
      <c r="H21">
        <v>4.3360000000000003</v>
      </c>
      <c r="I21">
        <f t="shared" si="0"/>
        <v>86.72</v>
      </c>
      <c r="J21">
        <v>91.055999999999997</v>
      </c>
    </row>
    <row r="22" spans="1:10" x14ac:dyDescent="0.35">
      <c r="A22" t="s">
        <v>10</v>
      </c>
      <c r="B22" t="s">
        <v>20</v>
      </c>
      <c r="C22" t="s">
        <v>21</v>
      </c>
      <c r="D22" t="s">
        <v>13</v>
      </c>
      <c r="E22" t="s">
        <v>24</v>
      </c>
      <c r="F22">
        <v>69.12</v>
      </c>
      <c r="G22">
        <v>6</v>
      </c>
      <c r="H22">
        <v>20.736000000000001</v>
      </c>
      <c r="I22">
        <f t="shared" si="0"/>
        <v>414.72</v>
      </c>
      <c r="J22">
        <v>435.45600000000002</v>
      </c>
    </row>
    <row r="23" spans="1:10" x14ac:dyDescent="0.35">
      <c r="A23" t="s">
        <v>10</v>
      </c>
      <c r="B23" t="s">
        <v>15</v>
      </c>
      <c r="C23" t="s">
        <v>16</v>
      </c>
      <c r="D23" t="s">
        <v>13</v>
      </c>
      <c r="E23" t="s">
        <v>22</v>
      </c>
      <c r="F23">
        <v>98.7</v>
      </c>
      <c r="G23">
        <v>8</v>
      </c>
      <c r="H23">
        <v>39.479999999999997</v>
      </c>
      <c r="I23">
        <f t="shared" si="0"/>
        <v>789.6</v>
      </c>
      <c r="J23">
        <v>829.08</v>
      </c>
    </row>
    <row r="24" spans="1:10" x14ac:dyDescent="0.35">
      <c r="A24" t="s">
        <v>10</v>
      </c>
      <c r="B24" t="s">
        <v>20</v>
      </c>
      <c r="C24" t="s">
        <v>21</v>
      </c>
      <c r="D24" t="s">
        <v>13</v>
      </c>
      <c r="E24" t="s">
        <v>18</v>
      </c>
      <c r="F24">
        <v>93.96</v>
      </c>
      <c r="G24">
        <v>4</v>
      </c>
      <c r="H24">
        <v>18.792000000000002</v>
      </c>
      <c r="I24">
        <f t="shared" si="0"/>
        <v>375.84</v>
      </c>
      <c r="J24">
        <v>394.63199999999995</v>
      </c>
    </row>
    <row r="25" spans="1:10" x14ac:dyDescent="0.35">
      <c r="A25" t="s">
        <v>10</v>
      </c>
      <c r="B25" t="s">
        <v>20</v>
      </c>
      <c r="C25" t="s">
        <v>21</v>
      </c>
      <c r="D25" t="s">
        <v>13</v>
      </c>
      <c r="E25" t="s">
        <v>22</v>
      </c>
      <c r="F25">
        <v>20.010000000000002</v>
      </c>
      <c r="G25">
        <v>9</v>
      </c>
      <c r="H25">
        <v>9.1944999999999997</v>
      </c>
      <c r="I25">
        <f t="shared" si="0"/>
        <v>180.09</v>
      </c>
      <c r="J25">
        <v>189.28450000000001</v>
      </c>
    </row>
    <row r="26" spans="1:10" x14ac:dyDescent="0.35">
      <c r="A26" t="s">
        <v>10</v>
      </c>
      <c r="B26" t="s">
        <v>15</v>
      </c>
      <c r="C26" t="s">
        <v>16</v>
      </c>
      <c r="D26" t="s">
        <v>13</v>
      </c>
      <c r="E26" t="s">
        <v>23</v>
      </c>
      <c r="F26">
        <v>82.63</v>
      </c>
      <c r="G26">
        <v>10</v>
      </c>
      <c r="H26">
        <v>41.314999999999998</v>
      </c>
      <c r="I26">
        <f t="shared" si="0"/>
        <v>826.3</v>
      </c>
      <c r="J26">
        <v>867.61500000000001</v>
      </c>
    </row>
    <row r="27" spans="1:10" x14ac:dyDescent="0.35">
      <c r="A27" t="s">
        <v>10</v>
      </c>
      <c r="B27" t="s">
        <v>11</v>
      </c>
      <c r="C27" t="s">
        <v>12</v>
      </c>
      <c r="D27" t="s">
        <v>13</v>
      </c>
      <c r="E27" t="s">
        <v>22</v>
      </c>
      <c r="F27">
        <v>44.59</v>
      </c>
      <c r="G27">
        <v>5</v>
      </c>
      <c r="H27">
        <v>11.147500000000001</v>
      </c>
      <c r="I27">
        <f t="shared" si="0"/>
        <v>222.95000000000002</v>
      </c>
      <c r="J27">
        <v>234.09750000000003</v>
      </c>
    </row>
    <row r="28" spans="1:10" x14ac:dyDescent="0.35">
      <c r="A28" t="s">
        <v>10</v>
      </c>
      <c r="B28" t="s">
        <v>20</v>
      </c>
      <c r="C28" t="s">
        <v>21</v>
      </c>
      <c r="D28" t="s">
        <v>13</v>
      </c>
      <c r="E28" t="s">
        <v>23</v>
      </c>
      <c r="F28">
        <v>17.87</v>
      </c>
      <c r="G28">
        <v>4</v>
      </c>
      <c r="H28">
        <v>3.5739999999999998</v>
      </c>
      <c r="I28">
        <f t="shared" si="0"/>
        <v>71.48</v>
      </c>
      <c r="J28">
        <v>75.054000000000002</v>
      </c>
    </row>
    <row r="29" spans="1:10" x14ac:dyDescent="0.35">
      <c r="A29" t="s">
        <v>10</v>
      </c>
      <c r="B29" t="s">
        <v>15</v>
      </c>
      <c r="C29" t="s">
        <v>16</v>
      </c>
      <c r="D29" t="s">
        <v>17</v>
      </c>
      <c r="E29" t="s">
        <v>18</v>
      </c>
      <c r="F29">
        <v>85.98</v>
      </c>
      <c r="G29">
        <v>8</v>
      </c>
      <c r="H29">
        <v>34.392000000000003</v>
      </c>
      <c r="I29">
        <f t="shared" si="0"/>
        <v>687.84</v>
      </c>
      <c r="J29">
        <v>722.23200000000008</v>
      </c>
    </row>
    <row r="30" spans="1:10" x14ac:dyDescent="0.35">
      <c r="A30" t="s">
        <v>10</v>
      </c>
      <c r="B30" t="s">
        <v>11</v>
      </c>
      <c r="C30" t="s">
        <v>12</v>
      </c>
      <c r="D30" t="s">
        <v>13</v>
      </c>
      <c r="E30" t="s">
        <v>19</v>
      </c>
      <c r="F30">
        <v>72.349999999999994</v>
      </c>
      <c r="G30">
        <v>10</v>
      </c>
      <c r="H30">
        <v>36.174999999999997</v>
      </c>
      <c r="I30">
        <f t="shared" si="0"/>
        <v>723.5</v>
      </c>
      <c r="J30">
        <v>759.67499999999995</v>
      </c>
    </row>
    <row r="31" spans="1:10" x14ac:dyDescent="0.35">
      <c r="A31" t="s">
        <v>10</v>
      </c>
      <c r="B31" t="s">
        <v>15</v>
      </c>
      <c r="C31" t="s">
        <v>16</v>
      </c>
      <c r="D31" t="s">
        <v>13</v>
      </c>
      <c r="E31" t="s">
        <v>24</v>
      </c>
      <c r="F31">
        <v>24.74</v>
      </c>
      <c r="G31">
        <v>3</v>
      </c>
      <c r="H31">
        <v>3.7109999999999999</v>
      </c>
      <c r="I31">
        <f t="shared" si="0"/>
        <v>74.22</v>
      </c>
      <c r="J31">
        <v>77.930999999999997</v>
      </c>
    </row>
    <row r="32" spans="1:10" x14ac:dyDescent="0.35">
      <c r="A32" t="s">
        <v>10</v>
      </c>
      <c r="B32" t="s">
        <v>20</v>
      </c>
      <c r="C32" t="s">
        <v>21</v>
      </c>
      <c r="D32" t="s">
        <v>13</v>
      </c>
      <c r="E32" t="s">
        <v>24</v>
      </c>
      <c r="F32">
        <v>55.07</v>
      </c>
      <c r="G32">
        <v>9</v>
      </c>
      <c r="H32">
        <v>247.815</v>
      </c>
      <c r="I32">
        <f t="shared" si="0"/>
        <v>495.63</v>
      </c>
      <c r="J32">
        <v>743.44499999999994</v>
      </c>
    </row>
    <row r="33" spans="1:10" x14ac:dyDescent="0.35">
      <c r="A33" t="s">
        <v>10</v>
      </c>
      <c r="B33" t="s">
        <v>15</v>
      </c>
      <c r="C33" t="s">
        <v>16</v>
      </c>
      <c r="D33" t="s">
        <v>17</v>
      </c>
      <c r="E33" t="s">
        <v>14</v>
      </c>
      <c r="F33">
        <v>33.47</v>
      </c>
      <c r="G33">
        <v>2</v>
      </c>
      <c r="H33">
        <v>3.347</v>
      </c>
      <c r="I33">
        <f t="shared" si="0"/>
        <v>66.94</v>
      </c>
      <c r="J33">
        <v>70.286999999999992</v>
      </c>
    </row>
    <row r="34" spans="1:10" x14ac:dyDescent="0.35">
      <c r="A34" t="s">
        <v>10</v>
      </c>
      <c r="B34" t="s">
        <v>20</v>
      </c>
      <c r="C34" t="s">
        <v>21</v>
      </c>
      <c r="D34" t="s">
        <v>13</v>
      </c>
      <c r="E34" t="s">
        <v>23</v>
      </c>
      <c r="F34">
        <v>97.61</v>
      </c>
      <c r="G34">
        <v>6</v>
      </c>
      <c r="H34">
        <v>29.283000000000001</v>
      </c>
      <c r="I34">
        <f t="shared" si="0"/>
        <v>585.66</v>
      </c>
      <c r="J34">
        <v>614.94299999999998</v>
      </c>
    </row>
    <row r="35" spans="1:10" x14ac:dyDescent="0.35">
      <c r="A35" t="s">
        <v>10</v>
      </c>
      <c r="B35" t="s">
        <v>11</v>
      </c>
      <c r="C35" t="s">
        <v>12</v>
      </c>
      <c r="D35" t="s">
        <v>13</v>
      </c>
      <c r="E35" t="s">
        <v>14</v>
      </c>
      <c r="F35">
        <v>18.329999999999998</v>
      </c>
      <c r="G35">
        <v>1</v>
      </c>
      <c r="H35">
        <v>9.1649999999999991</v>
      </c>
      <c r="I35">
        <f t="shared" si="0"/>
        <v>18.329999999999998</v>
      </c>
      <c r="J35">
        <v>27.494999999999997</v>
      </c>
    </row>
    <row r="36" spans="1:10" x14ac:dyDescent="0.35">
      <c r="A36" t="s">
        <v>10</v>
      </c>
      <c r="B36" t="s">
        <v>20</v>
      </c>
      <c r="C36" t="s">
        <v>21</v>
      </c>
      <c r="D36" t="s">
        <v>13</v>
      </c>
      <c r="E36" t="s">
        <v>22</v>
      </c>
      <c r="F36">
        <v>48.52</v>
      </c>
      <c r="G36">
        <v>3</v>
      </c>
      <c r="H36">
        <v>7.2779999999999996</v>
      </c>
      <c r="I36">
        <f t="shared" si="0"/>
        <v>145.56</v>
      </c>
      <c r="J36">
        <v>152.83799999999999</v>
      </c>
    </row>
    <row r="37" spans="1:10" x14ac:dyDescent="0.35">
      <c r="A37" t="s">
        <v>10</v>
      </c>
      <c r="B37" t="s">
        <v>15</v>
      </c>
      <c r="C37" t="s">
        <v>16</v>
      </c>
      <c r="D37" t="s">
        <v>17</v>
      </c>
      <c r="E37" t="s">
        <v>18</v>
      </c>
      <c r="F37">
        <v>75.91</v>
      </c>
      <c r="G37">
        <v>6</v>
      </c>
      <c r="H37">
        <v>22.773</v>
      </c>
      <c r="I37">
        <f t="shared" si="0"/>
        <v>455.46</v>
      </c>
      <c r="J37">
        <v>478.233</v>
      </c>
    </row>
    <row r="38" spans="1:10" x14ac:dyDescent="0.35">
      <c r="A38" t="s">
        <v>10</v>
      </c>
      <c r="B38" t="s">
        <v>15</v>
      </c>
      <c r="C38" t="s">
        <v>16</v>
      </c>
      <c r="D38" t="s">
        <v>17</v>
      </c>
      <c r="E38" t="s">
        <v>18</v>
      </c>
      <c r="F38">
        <v>41.65</v>
      </c>
      <c r="G38">
        <v>10</v>
      </c>
      <c r="H38">
        <v>20.824999999999999</v>
      </c>
      <c r="I38">
        <f t="shared" si="0"/>
        <v>416.5</v>
      </c>
      <c r="J38">
        <v>437.32499999999999</v>
      </c>
    </row>
    <row r="39" spans="1:10" x14ac:dyDescent="0.35">
      <c r="A39" t="s">
        <v>10</v>
      </c>
      <c r="B39" t="s">
        <v>11</v>
      </c>
      <c r="C39" t="s">
        <v>12</v>
      </c>
      <c r="D39" t="s">
        <v>13</v>
      </c>
      <c r="E39" t="s">
        <v>23</v>
      </c>
      <c r="F39">
        <v>20.010000000000002</v>
      </c>
      <c r="G39">
        <v>9</v>
      </c>
      <c r="H39">
        <v>9.1944999999999997</v>
      </c>
      <c r="I39">
        <f t="shared" si="0"/>
        <v>180.09</v>
      </c>
      <c r="J39">
        <v>189.28450000000001</v>
      </c>
    </row>
    <row r="40" spans="1:10" x14ac:dyDescent="0.35">
      <c r="A40" t="s">
        <v>10</v>
      </c>
      <c r="B40" t="s">
        <v>15</v>
      </c>
      <c r="C40" t="s">
        <v>16</v>
      </c>
      <c r="D40" t="s">
        <v>13</v>
      </c>
      <c r="E40" t="s">
        <v>22</v>
      </c>
      <c r="F40">
        <v>78.31</v>
      </c>
      <c r="G40">
        <v>10</v>
      </c>
      <c r="H40">
        <v>39.155000000000001</v>
      </c>
      <c r="I40">
        <f t="shared" si="0"/>
        <v>783.1</v>
      </c>
      <c r="J40">
        <v>822.255</v>
      </c>
    </row>
    <row r="41" spans="1:10" x14ac:dyDescent="0.35">
      <c r="A41" t="s">
        <v>10</v>
      </c>
      <c r="B41" t="s">
        <v>15</v>
      </c>
      <c r="C41" t="s">
        <v>16</v>
      </c>
      <c r="D41" t="s">
        <v>17</v>
      </c>
      <c r="E41" t="s">
        <v>14</v>
      </c>
      <c r="F41">
        <v>20.38</v>
      </c>
      <c r="G41">
        <v>5</v>
      </c>
      <c r="H41">
        <v>5.0949999999999998</v>
      </c>
      <c r="I41">
        <f t="shared" si="0"/>
        <v>101.89999999999999</v>
      </c>
      <c r="J41">
        <v>106.99499999999999</v>
      </c>
    </row>
    <row r="42" spans="1:10" x14ac:dyDescent="0.35">
      <c r="A42" t="s">
        <v>10</v>
      </c>
      <c r="B42" t="s">
        <v>15</v>
      </c>
      <c r="C42" t="s">
        <v>16</v>
      </c>
      <c r="D42" t="s">
        <v>17</v>
      </c>
      <c r="E42" t="s">
        <v>14</v>
      </c>
      <c r="F42">
        <v>99.19</v>
      </c>
      <c r="G42">
        <v>6</v>
      </c>
      <c r="H42">
        <v>29.757000000000001</v>
      </c>
      <c r="I42">
        <f t="shared" si="0"/>
        <v>595.14</v>
      </c>
      <c r="J42">
        <v>624.89699999999993</v>
      </c>
    </row>
    <row r="43" spans="1:10" x14ac:dyDescent="0.35">
      <c r="A43" t="s">
        <v>10</v>
      </c>
      <c r="B43" t="s">
        <v>20</v>
      </c>
      <c r="C43" t="s">
        <v>21</v>
      </c>
      <c r="D43" t="s">
        <v>17</v>
      </c>
      <c r="E43" t="s">
        <v>22</v>
      </c>
      <c r="F43">
        <v>96.68</v>
      </c>
      <c r="G43">
        <v>3</v>
      </c>
      <c r="H43">
        <v>14.502000000000001</v>
      </c>
      <c r="I43">
        <f t="shared" si="0"/>
        <v>290.04000000000002</v>
      </c>
      <c r="J43">
        <v>304.54200000000003</v>
      </c>
    </row>
    <row r="44" spans="1:10" x14ac:dyDescent="0.35">
      <c r="A44" t="s">
        <v>10</v>
      </c>
      <c r="B44" t="s">
        <v>15</v>
      </c>
      <c r="C44" t="s">
        <v>16</v>
      </c>
      <c r="D44" t="s">
        <v>13</v>
      </c>
      <c r="E44" t="s">
        <v>22</v>
      </c>
      <c r="F44">
        <v>80.36</v>
      </c>
      <c r="G44">
        <v>4</v>
      </c>
      <c r="H44">
        <v>16.071999999999999</v>
      </c>
      <c r="I44">
        <f t="shared" si="0"/>
        <v>321.44</v>
      </c>
      <c r="J44">
        <v>337.512</v>
      </c>
    </row>
    <row r="45" spans="1:10" x14ac:dyDescent="0.35">
      <c r="A45" t="s">
        <v>10</v>
      </c>
      <c r="B45" t="s">
        <v>15</v>
      </c>
      <c r="C45" t="s">
        <v>16</v>
      </c>
      <c r="D45" t="s">
        <v>17</v>
      </c>
      <c r="E45" t="s">
        <v>24</v>
      </c>
      <c r="F45">
        <v>83.06</v>
      </c>
      <c r="G45">
        <v>7</v>
      </c>
      <c r="H45">
        <v>29.071000000000002</v>
      </c>
      <c r="I45">
        <f t="shared" si="0"/>
        <v>581.42000000000007</v>
      </c>
      <c r="J45">
        <v>610.4910000000001</v>
      </c>
    </row>
    <row r="46" spans="1:10" x14ac:dyDescent="0.35">
      <c r="A46" t="s">
        <v>10</v>
      </c>
      <c r="B46" t="s">
        <v>20</v>
      </c>
      <c r="C46" t="s">
        <v>21</v>
      </c>
      <c r="D46" t="s">
        <v>17</v>
      </c>
      <c r="E46" t="s">
        <v>14</v>
      </c>
      <c r="F46">
        <v>76.989999999999995</v>
      </c>
      <c r="G46">
        <v>6</v>
      </c>
      <c r="H46">
        <v>23.097000000000001</v>
      </c>
      <c r="I46">
        <f t="shared" si="0"/>
        <v>461.93999999999994</v>
      </c>
      <c r="J46">
        <v>485.03699999999992</v>
      </c>
    </row>
    <row r="47" spans="1:10" x14ac:dyDescent="0.35">
      <c r="A47" t="s">
        <v>10</v>
      </c>
      <c r="B47" t="s">
        <v>15</v>
      </c>
      <c r="C47" t="s">
        <v>16</v>
      </c>
      <c r="D47" t="s">
        <v>13</v>
      </c>
      <c r="E47" t="s">
        <v>19</v>
      </c>
      <c r="F47">
        <v>47.38</v>
      </c>
      <c r="G47">
        <v>4</v>
      </c>
      <c r="H47">
        <v>9.4760000000000009</v>
      </c>
      <c r="I47">
        <f t="shared" si="0"/>
        <v>189.52</v>
      </c>
      <c r="J47">
        <v>198.99600000000001</v>
      </c>
    </row>
    <row r="48" spans="1:10" x14ac:dyDescent="0.35">
      <c r="A48" t="s">
        <v>10</v>
      </c>
      <c r="B48" t="s">
        <v>15</v>
      </c>
      <c r="C48" t="s">
        <v>16</v>
      </c>
      <c r="D48" t="s">
        <v>17</v>
      </c>
      <c r="E48" t="s">
        <v>24</v>
      </c>
      <c r="F48">
        <v>44.86</v>
      </c>
      <c r="G48">
        <v>10</v>
      </c>
      <c r="H48">
        <v>22.43</v>
      </c>
      <c r="I48">
        <f t="shared" si="0"/>
        <v>448.6</v>
      </c>
      <c r="J48">
        <v>471.03000000000003</v>
      </c>
    </row>
    <row r="49" spans="1:10" x14ac:dyDescent="0.35">
      <c r="A49" t="s">
        <v>10</v>
      </c>
      <c r="B49" t="s">
        <v>11</v>
      </c>
      <c r="C49" t="s">
        <v>12</v>
      </c>
      <c r="D49" t="s">
        <v>13</v>
      </c>
      <c r="E49" t="s">
        <v>24</v>
      </c>
      <c r="F49">
        <v>21.98</v>
      </c>
      <c r="G49">
        <v>7</v>
      </c>
      <c r="H49">
        <v>7.6929999999999996</v>
      </c>
      <c r="I49">
        <f t="shared" si="0"/>
        <v>153.86000000000001</v>
      </c>
      <c r="J49">
        <v>161.55300000000003</v>
      </c>
    </row>
    <row r="50" spans="1:10" x14ac:dyDescent="0.35">
      <c r="A50" t="s">
        <v>10</v>
      </c>
      <c r="B50" t="s">
        <v>15</v>
      </c>
      <c r="C50" t="s">
        <v>16</v>
      </c>
      <c r="D50" t="s">
        <v>17</v>
      </c>
      <c r="E50" t="s">
        <v>18</v>
      </c>
      <c r="F50">
        <v>12.45</v>
      </c>
      <c r="G50">
        <v>6</v>
      </c>
      <c r="H50">
        <v>3.7349999999999999</v>
      </c>
      <c r="I50">
        <f t="shared" si="0"/>
        <v>74.699999999999989</v>
      </c>
      <c r="J50">
        <v>78.434999999999988</v>
      </c>
    </row>
    <row r="51" spans="1:10" x14ac:dyDescent="0.35">
      <c r="A51" t="s">
        <v>10</v>
      </c>
      <c r="B51" t="s">
        <v>15</v>
      </c>
      <c r="C51" t="s">
        <v>16</v>
      </c>
      <c r="D51" t="s">
        <v>17</v>
      </c>
      <c r="E51" t="s">
        <v>18</v>
      </c>
      <c r="F51">
        <v>23.07</v>
      </c>
      <c r="G51">
        <v>9</v>
      </c>
      <c r="H51">
        <v>10.381500000000001</v>
      </c>
      <c r="I51">
        <f t="shared" si="0"/>
        <v>207.63</v>
      </c>
      <c r="J51">
        <v>218.01149999999998</v>
      </c>
    </row>
    <row r="52" spans="1:10" x14ac:dyDescent="0.35">
      <c r="A52" t="s">
        <v>10</v>
      </c>
      <c r="B52" t="s">
        <v>15</v>
      </c>
      <c r="C52" t="s">
        <v>16</v>
      </c>
      <c r="D52" t="s">
        <v>17</v>
      </c>
      <c r="E52" t="s">
        <v>22</v>
      </c>
      <c r="F52">
        <v>33.979999999999997</v>
      </c>
      <c r="G52">
        <v>9</v>
      </c>
      <c r="H52">
        <v>15.291</v>
      </c>
      <c r="I52">
        <f t="shared" si="0"/>
        <v>305.82</v>
      </c>
      <c r="J52">
        <v>321.11099999999999</v>
      </c>
    </row>
    <row r="53" spans="1:10" x14ac:dyDescent="0.35">
      <c r="A53" t="s">
        <v>10</v>
      </c>
      <c r="B53" t="s">
        <v>20</v>
      </c>
      <c r="C53" t="s">
        <v>21</v>
      </c>
      <c r="D53" t="s">
        <v>13</v>
      </c>
      <c r="E53" t="s">
        <v>24</v>
      </c>
      <c r="F53">
        <v>16.489999999999998</v>
      </c>
      <c r="G53">
        <v>2</v>
      </c>
      <c r="H53">
        <v>1.649</v>
      </c>
      <c r="I53">
        <f t="shared" si="0"/>
        <v>32.979999999999997</v>
      </c>
      <c r="J53">
        <v>34.628999999999998</v>
      </c>
    </row>
    <row r="54" spans="1:10" x14ac:dyDescent="0.35">
      <c r="A54" t="s">
        <v>10</v>
      </c>
      <c r="B54" t="s">
        <v>15</v>
      </c>
      <c r="C54" t="s">
        <v>16</v>
      </c>
      <c r="D54" t="s">
        <v>13</v>
      </c>
      <c r="E54" t="s">
        <v>14</v>
      </c>
      <c r="F54">
        <v>98.21</v>
      </c>
      <c r="G54">
        <v>3</v>
      </c>
      <c r="H54">
        <v>147.315</v>
      </c>
      <c r="I54">
        <f t="shared" si="0"/>
        <v>294.63</v>
      </c>
      <c r="J54">
        <v>441.94499999999999</v>
      </c>
    </row>
    <row r="55" spans="1:10" x14ac:dyDescent="0.35">
      <c r="A55" t="s">
        <v>10</v>
      </c>
      <c r="B55" t="s">
        <v>20</v>
      </c>
      <c r="C55" t="s">
        <v>21</v>
      </c>
      <c r="D55" t="s">
        <v>17</v>
      </c>
      <c r="E55" t="s">
        <v>23</v>
      </c>
      <c r="F55">
        <v>72.84</v>
      </c>
      <c r="G55">
        <v>7</v>
      </c>
      <c r="H55">
        <v>25.494</v>
      </c>
      <c r="I55">
        <f t="shared" si="0"/>
        <v>509.88</v>
      </c>
      <c r="J55">
        <v>535.37400000000002</v>
      </c>
    </row>
    <row r="56" spans="1:10" x14ac:dyDescent="0.35">
      <c r="A56" t="s">
        <v>10</v>
      </c>
      <c r="B56" t="s">
        <v>15</v>
      </c>
      <c r="C56" t="s">
        <v>16</v>
      </c>
      <c r="D56" t="s">
        <v>13</v>
      </c>
      <c r="E56" t="s">
        <v>19</v>
      </c>
      <c r="F56">
        <v>80.790000000000006</v>
      </c>
      <c r="G56">
        <v>9</v>
      </c>
      <c r="H56">
        <v>363.55500000000001</v>
      </c>
      <c r="I56">
        <f t="shared" si="0"/>
        <v>727.11</v>
      </c>
      <c r="J56">
        <v>1090.665</v>
      </c>
    </row>
    <row r="57" spans="1:10" x14ac:dyDescent="0.35">
      <c r="A57" t="s">
        <v>10</v>
      </c>
      <c r="B57" t="s">
        <v>15</v>
      </c>
      <c r="C57" t="s">
        <v>16</v>
      </c>
      <c r="D57" t="s">
        <v>17</v>
      </c>
      <c r="E57" t="s">
        <v>23</v>
      </c>
      <c r="F57">
        <v>27.02</v>
      </c>
      <c r="G57">
        <v>3</v>
      </c>
      <c r="H57">
        <v>4.0529999999999999</v>
      </c>
      <c r="I57">
        <f t="shared" si="0"/>
        <v>81.06</v>
      </c>
      <c r="J57">
        <v>85.113</v>
      </c>
    </row>
    <row r="58" spans="1:10" x14ac:dyDescent="0.35">
      <c r="A58" t="s">
        <v>10</v>
      </c>
      <c r="B58" t="s">
        <v>11</v>
      </c>
      <c r="C58" t="s">
        <v>12</v>
      </c>
      <c r="D58" t="s">
        <v>17</v>
      </c>
      <c r="E58" t="s">
        <v>22</v>
      </c>
      <c r="F58">
        <v>10.96</v>
      </c>
      <c r="G58">
        <v>10</v>
      </c>
      <c r="H58">
        <v>5.48</v>
      </c>
      <c r="I58">
        <f t="shared" si="0"/>
        <v>109.60000000000001</v>
      </c>
      <c r="J58">
        <v>115.08000000000001</v>
      </c>
    </row>
    <row r="59" spans="1:10" x14ac:dyDescent="0.35">
      <c r="A59" t="s">
        <v>10</v>
      </c>
      <c r="B59" t="s">
        <v>11</v>
      </c>
      <c r="C59" t="s">
        <v>12</v>
      </c>
      <c r="D59" t="s">
        <v>17</v>
      </c>
      <c r="E59" t="s">
        <v>18</v>
      </c>
      <c r="F59">
        <v>99.56</v>
      </c>
      <c r="G59">
        <v>8</v>
      </c>
      <c r="H59">
        <v>39.823999999999998</v>
      </c>
      <c r="I59">
        <f t="shared" si="0"/>
        <v>796.48</v>
      </c>
      <c r="J59">
        <v>836.30399999999997</v>
      </c>
    </row>
    <row r="60" spans="1:10" x14ac:dyDescent="0.35">
      <c r="A60" t="s">
        <v>10</v>
      </c>
      <c r="B60" t="s">
        <v>20</v>
      </c>
      <c r="C60" t="s">
        <v>21</v>
      </c>
      <c r="D60" t="s">
        <v>13</v>
      </c>
      <c r="E60" t="s">
        <v>23</v>
      </c>
      <c r="F60">
        <v>56.47</v>
      </c>
      <c r="G60">
        <v>8</v>
      </c>
      <c r="H60">
        <v>22.588000000000001</v>
      </c>
      <c r="I60">
        <f t="shared" si="0"/>
        <v>451.76</v>
      </c>
      <c r="J60">
        <v>474.34800000000001</v>
      </c>
    </row>
    <row r="61" spans="1:10" x14ac:dyDescent="0.35">
      <c r="A61" t="s">
        <v>10</v>
      </c>
      <c r="B61" t="s">
        <v>11</v>
      </c>
      <c r="C61" t="s">
        <v>12</v>
      </c>
      <c r="D61" t="s">
        <v>17</v>
      </c>
      <c r="E61" t="s">
        <v>19</v>
      </c>
      <c r="F61">
        <v>93.69</v>
      </c>
      <c r="G61">
        <v>7</v>
      </c>
      <c r="H61">
        <v>327.91500000000002</v>
      </c>
      <c r="I61">
        <f t="shared" si="0"/>
        <v>655.82999999999993</v>
      </c>
      <c r="J61">
        <v>983.74499999999989</v>
      </c>
    </row>
    <row r="62" spans="1:10" x14ac:dyDescent="0.35">
      <c r="A62" t="s">
        <v>10</v>
      </c>
      <c r="B62" t="s">
        <v>11</v>
      </c>
      <c r="C62" t="s">
        <v>12</v>
      </c>
      <c r="D62" t="s">
        <v>17</v>
      </c>
      <c r="E62" t="s">
        <v>24</v>
      </c>
      <c r="F62">
        <v>32.25</v>
      </c>
      <c r="G62">
        <v>5</v>
      </c>
      <c r="H62">
        <v>8.0625</v>
      </c>
      <c r="I62">
        <f t="shared" si="0"/>
        <v>161.25</v>
      </c>
      <c r="J62">
        <v>169.3125</v>
      </c>
    </row>
    <row r="63" spans="1:10" x14ac:dyDescent="0.35">
      <c r="A63" t="s">
        <v>10</v>
      </c>
      <c r="B63" t="s">
        <v>15</v>
      </c>
      <c r="C63" t="s">
        <v>16</v>
      </c>
      <c r="D63" t="s">
        <v>17</v>
      </c>
      <c r="E63" t="s">
        <v>23</v>
      </c>
      <c r="F63">
        <v>31.73</v>
      </c>
      <c r="G63">
        <v>9</v>
      </c>
      <c r="H63">
        <v>142.785</v>
      </c>
      <c r="I63">
        <f t="shared" si="0"/>
        <v>285.57</v>
      </c>
      <c r="J63">
        <v>428.35500000000002</v>
      </c>
    </row>
    <row r="64" spans="1:10" x14ac:dyDescent="0.35">
      <c r="A64" t="s">
        <v>10</v>
      </c>
      <c r="B64" t="s">
        <v>15</v>
      </c>
      <c r="C64" t="s">
        <v>16</v>
      </c>
      <c r="D64" t="s">
        <v>13</v>
      </c>
      <c r="E64" t="s">
        <v>22</v>
      </c>
      <c r="F64">
        <v>68.540000000000006</v>
      </c>
      <c r="G64">
        <v>8</v>
      </c>
      <c r="H64">
        <v>27.416</v>
      </c>
      <c r="I64">
        <f t="shared" si="0"/>
        <v>548.32000000000005</v>
      </c>
      <c r="J64">
        <v>575.7360000000001</v>
      </c>
    </row>
    <row r="65" spans="1:10" x14ac:dyDescent="0.35">
      <c r="A65" t="s">
        <v>10</v>
      </c>
      <c r="B65" t="s">
        <v>20</v>
      </c>
      <c r="C65" t="s">
        <v>21</v>
      </c>
      <c r="D65" t="s">
        <v>17</v>
      </c>
      <c r="E65" t="s">
        <v>24</v>
      </c>
      <c r="F65">
        <v>90.28</v>
      </c>
      <c r="G65">
        <v>9</v>
      </c>
      <c r="H65">
        <v>40.625999999999998</v>
      </c>
      <c r="I65">
        <f t="shared" si="0"/>
        <v>812.52</v>
      </c>
      <c r="J65">
        <v>853.14599999999996</v>
      </c>
    </row>
    <row r="66" spans="1:10" x14ac:dyDescent="0.35">
      <c r="A66" t="s">
        <v>10</v>
      </c>
      <c r="B66" t="s">
        <v>20</v>
      </c>
      <c r="C66" t="s">
        <v>21</v>
      </c>
      <c r="D66" t="s">
        <v>17</v>
      </c>
      <c r="E66" t="s">
        <v>23</v>
      </c>
      <c r="F66">
        <v>39.619999999999997</v>
      </c>
      <c r="G66">
        <v>7</v>
      </c>
      <c r="H66">
        <v>13.867000000000001</v>
      </c>
      <c r="I66">
        <f t="shared" si="0"/>
        <v>277.33999999999997</v>
      </c>
      <c r="J66">
        <v>291.20699999999999</v>
      </c>
    </row>
    <row r="67" spans="1:10" x14ac:dyDescent="0.35">
      <c r="A67" t="s">
        <v>10</v>
      </c>
      <c r="B67" t="s">
        <v>11</v>
      </c>
      <c r="C67" t="s">
        <v>12</v>
      </c>
      <c r="D67" t="s">
        <v>13</v>
      </c>
      <c r="E67" t="s">
        <v>24</v>
      </c>
      <c r="F67">
        <v>92.13</v>
      </c>
      <c r="G67">
        <v>6</v>
      </c>
      <c r="H67">
        <v>27.638999999999999</v>
      </c>
      <c r="I67">
        <f t="shared" ref="I67:I130" si="1">F67*G67</f>
        <v>552.78</v>
      </c>
      <c r="J67">
        <v>580.41899999999998</v>
      </c>
    </row>
    <row r="68" spans="1:10" x14ac:dyDescent="0.35">
      <c r="A68" t="s">
        <v>10</v>
      </c>
      <c r="B68" t="s">
        <v>20</v>
      </c>
      <c r="C68" t="s">
        <v>21</v>
      </c>
      <c r="D68" t="s">
        <v>17</v>
      </c>
      <c r="E68" t="s">
        <v>24</v>
      </c>
      <c r="F68">
        <v>34.840000000000003</v>
      </c>
      <c r="G68">
        <v>4</v>
      </c>
      <c r="H68">
        <v>6.968</v>
      </c>
      <c r="I68">
        <f t="shared" si="1"/>
        <v>139.36000000000001</v>
      </c>
      <c r="J68">
        <v>146.328</v>
      </c>
    </row>
    <row r="69" spans="1:10" x14ac:dyDescent="0.35">
      <c r="A69" t="s">
        <v>10</v>
      </c>
      <c r="B69" t="s">
        <v>15</v>
      </c>
      <c r="C69" t="s">
        <v>16</v>
      </c>
      <c r="D69" t="s">
        <v>17</v>
      </c>
      <c r="E69" t="s">
        <v>14</v>
      </c>
      <c r="F69">
        <v>81.3</v>
      </c>
      <c r="G69">
        <v>6</v>
      </c>
      <c r="H69">
        <v>24.39</v>
      </c>
      <c r="I69">
        <f t="shared" si="1"/>
        <v>487.79999999999995</v>
      </c>
      <c r="J69">
        <v>512.18999999999994</v>
      </c>
    </row>
    <row r="70" spans="1:10" x14ac:dyDescent="0.35">
      <c r="A70" t="s">
        <v>10</v>
      </c>
      <c r="B70" t="s">
        <v>11</v>
      </c>
      <c r="C70" t="s">
        <v>12</v>
      </c>
      <c r="D70" t="s">
        <v>17</v>
      </c>
      <c r="E70" t="s">
        <v>18</v>
      </c>
      <c r="F70">
        <v>26.31</v>
      </c>
      <c r="G70">
        <v>5</v>
      </c>
      <c r="H70">
        <v>6.5774999999999997</v>
      </c>
      <c r="I70">
        <f t="shared" si="1"/>
        <v>131.54999999999998</v>
      </c>
      <c r="J70">
        <v>138.12749999999997</v>
      </c>
    </row>
    <row r="71" spans="1:10" x14ac:dyDescent="0.35">
      <c r="A71" t="s">
        <v>10</v>
      </c>
      <c r="B71" t="s">
        <v>11</v>
      </c>
      <c r="C71" t="s">
        <v>12</v>
      </c>
      <c r="D71" t="s">
        <v>13</v>
      </c>
      <c r="E71" t="s">
        <v>19</v>
      </c>
      <c r="F71">
        <v>34.42</v>
      </c>
      <c r="G71">
        <v>6</v>
      </c>
      <c r="H71">
        <v>10.326000000000001</v>
      </c>
      <c r="I71">
        <f t="shared" si="1"/>
        <v>206.52</v>
      </c>
      <c r="J71">
        <v>216.846</v>
      </c>
    </row>
    <row r="72" spans="1:10" x14ac:dyDescent="0.35">
      <c r="A72" t="s">
        <v>10</v>
      </c>
      <c r="B72" t="s">
        <v>15</v>
      </c>
      <c r="C72" t="s">
        <v>16</v>
      </c>
      <c r="D72" t="s">
        <v>13</v>
      </c>
      <c r="E72" t="s">
        <v>24</v>
      </c>
      <c r="F72">
        <v>89.8</v>
      </c>
      <c r="G72">
        <v>10</v>
      </c>
      <c r="H72">
        <v>44.9</v>
      </c>
      <c r="I72">
        <f t="shared" si="1"/>
        <v>898</v>
      </c>
      <c r="J72">
        <v>942.9</v>
      </c>
    </row>
    <row r="73" spans="1:10" x14ac:dyDescent="0.35">
      <c r="A73" t="s">
        <v>10</v>
      </c>
      <c r="B73" t="s">
        <v>15</v>
      </c>
      <c r="C73" t="s">
        <v>16</v>
      </c>
      <c r="D73" t="s">
        <v>13</v>
      </c>
      <c r="E73" t="s">
        <v>14</v>
      </c>
      <c r="F73">
        <v>68.599999999999994</v>
      </c>
      <c r="G73">
        <v>10</v>
      </c>
      <c r="H73">
        <v>34.299999999999997</v>
      </c>
      <c r="I73">
        <f t="shared" si="1"/>
        <v>686</v>
      </c>
      <c r="J73">
        <v>720.3</v>
      </c>
    </row>
    <row r="74" spans="1:10" x14ac:dyDescent="0.35">
      <c r="A74" t="s">
        <v>10</v>
      </c>
      <c r="B74" t="s">
        <v>15</v>
      </c>
      <c r="C74" t="s">
        <v>16</v>
      </c>
      <c r="D74" t="s">
        <v>13</v>
      </c>
      <c r="E74" t="s">
        <v>22</v>
      </c>
      <c r="F74">
        <v>30.41</v>
      </c>
      <c r="G74">
        <v>1</v>
      </c>
      <c r="H74">
        <v>1.5205</v>
      </c>
      <c r="I74">
        <f t="shared" si="1"/>
        <v>30.41</v>
      </c>
      <c r="J74">
        <v>31.930499999999999</v>
      </c>
    </row>
    <row r="75" spans="1:10" x14ac:dyDescent="0.35">
      <c r="A75" t="s">
        <v>10</v>
      </c>
      <c r="B75" t="s">
        <v>11</v>
      </c>
      <c r="C75" t="s">
        <v>12</v>
      </c>
      <c r="D75" t="s">
        <v>17</v>
      </c>
      <c r="E75" t="s">
        <v>19</v>
      </c>
      <c r="F75">
        <v>77.95</v>
      </c>
      <c r="G75">
        <v>6</v>
      </c>
      <c r="H75">
        <v>23.385000000000002</v>
      </c>
      <c r="I75">
        <f t="shared" si="1"/>
        <v>467.70000000000005</v>
      </c>
      <c r="J75">
        <v>491.08500000000004</v>
      </c>
    </row>
    <row r="76" spans="1:10" x14ac:dyDescent="0.35">
      <c r="A76" t="s">
        <v>10</v>
      </c>
      <c r="B76" t="s">
        <v>15</v>
      </c>
      <c r="C76" t="s">
        <v>16</v>
      </c>
      <c r="D76" t="s">
        <v>17</v>
      </c>
      <c r="E76" t="s">
        <v>14</v>
      </c>
      <c r="F76">
        <v>46.26</v>
      </c>
      <c r="G76">
        <v>6</v>
      </c>
      <c r="H76">
        <v>13.878</v>
      </c>
      <c r="I76">
        <f t="shared" si="1"/>
        <v>277.56</v>
      </c>
      <c r="J76">
        <v>291.43799999999999</v>
      </c>
    </row>
    <row r="77" spans="1:10" x14ac:dyDescent="0.35">
      <c r="A77" t="s">
        <v>10</v>
      </c>
      <c r="B77" t="s">
        <v>11</v>
      </c>
      <c r="C77" t="s">
        <v>12</v>
      </c>
      <c r="D77" t="s">
        <v>13</v>
      </c>
      <c r="E77" t="s">
        <v>23</v>
      </c>
      <c r="F77">
        <v>30.14</v>
      </c>
      <c r="G77">
        <v>10</v>
      </c>
      <c r="H77">
        <v>15.07</v>
      </c>
      <c r="I77">
        <f t="shared" si="1"/>
        <v>301.39999999999998</v>
      </c>
      <c r="J77">
        <v>316.46999999999997</v>
      </c>
    </row>
    <row r="78" spans="1:10" x14ac:dyDescent="0.35">
      <c r="A78" t="s">
        <v>10</v>
      </c>
      <c r="B78" t="s">
        <v>20</v>
      </c>
      <c r="C78" t="s">
        <v>21</v>
      </c>
      <c r="D78" t="s">
        <v>13</v>
      </c>
      <c r="E78" t="s">
        <v>23</v>
      </c>
      <c r="F78">
        <v>91.54</v>
      </c>
      <c r="G78">
        <v>4</v>
      </c>
      <c r="H78">
        <v>18.308</v>
      </c>
      <c r="I78">
        <f t="shared" si="1"/>
        <v>366.16</v>
      </c>
      <c r="J78">
        <v>384.46800000000002</v>
      </c>
    </row>
    <row r="79" spans="1:10" x14ac:dyDescent="0.35">
      <c r="A79" t="s">
        <v>10</v>
      </c>
      <c r="B79" t="s">
        <v>15</v>
      </c>
      <c r="C79" t="s">
        <v>16</v>
      </c>
      <c r="D79" t="s">
        <v>17</v>
      </c>
      <c r="E79" t="s">
        <v>22</v>
      </c>
      <c r="F79">
        <v>16.48</v>
      </c>
      <c r="G79">
        <v>6</v>
      </c>
      <c r="H79">
        <v>4.944</v>
      </c>
      <c r="I79">
        <f t="shared" si="1"/>
        <v>98.88</v>
      </c>
      <c r="J79">
        <v>103.824</v>
      </c>
    </row>
    <row r="80" spans="1:10" x14ac:dyDescent="0.35">
      <c r="A80" t="s">
        <v>10</v>
      </c>
      <c r="B80" t="s">
        <v>15</v>
      </c>
      <c r="C80" t="s">
        <v>16</v>
      </c>
      <c r="D80" t="s">
        <v>17</v>
      </c>
      <c r="E80" t="s">
        <v>24</v>
      </c>
      <c r="F80">
        <v>80.97</v>
      </c>
      <c r="G80">
        <v>8</v>
      </c>
      <c r="H80">
        <v>32.387999999999998</v>
      </c>
      <c r="I80">
        <f t="shared" si="1"/>
        <v>647.76</v>
      </c>
      <c r="J80">
        <v>680.14800000000002</v>
      </c>
    </row>
    <row r="81" spans="1:10" x14ac:dyDescent="0.35">
      <c r="A81" t="s">
        <v>10</v>
      </c>
      <c r="B81" t="s">
        <v>15</v>
      </c>
      <c r="C81" t="s">
        <v>16</v>
      </c>
      <c r="D81" t="s">
        <v>17</v>
      </c>
      <c r="E81" t="s">
        <v>22</v>
      </c>
      <c r="F81">
        <v>43.18</v>
      </c>
      <c r="G81">
        <v>8</v>
      </c>
      <c r="H81">
        <v>17.271999999999998</v>
      </c>
      <c r="I81">
        <f t="shared" si="1"/>
        <v>345.44</v>
      </c>
      <c r="J81">
        <v>362.71199999999999</v>
      </c>
    </row>
    <row r="82" spans="1:10" x14ac:dyDescent="0.35">
      <c r="A82" t="s">
        <v>10</v>
      </c>
      <c r="B82" t="s">
        <v>15</v>
      </c>
      <c r="C82" t="s">
        <v>16</v>
      </c>
      <c r="D82" t="s">
        <v>17</v>
      </c>
      <c r="E82" t="s">
        <v>23</v>
      </c>
      <c r="F82">
        <v>22.51</v>
      </c>
      <c r="G82">
        <v>7</v>
      </c>
      <c r="H82">
        <v>7.8784999999999998</v>
      </c>
      <c r="I82">
        <f t="shared" si="1"/>
        <v>157.57000000000002</v>
      </c>
      <c r="J82">
        <v>165.44850000000002</v>
      </c>
    </row>
    <row r="83" spans="1:10" x14ac:dyDescent="0.35">
      <c r="A83" t="s">
        <v>10</v>
      </c>
      <c r="B83" t="s">
        <v>11</v>
      </c>
      <c r="C83" t="s">
        <v>12</v>
      </c>
      <c r="D83" t="s">
        <v>17</v>
      </c>
      <c r="E83" t="s">
        <v>24</v>
      </c>
      <c r="F83">
        <v>12.34</v>
      </c>
      <c r="G83">
        <v>7</v>
      </c>
      <c r="H83">
        <v>4.319</v>
      </c>
      <c r="I83">
        <f t="shared" si="1"/>
        <v>86.38</v>
      </c>
      <c r="J83">
        <v>90.698999999999998</v>
      </c>
    </row>
    <row r="84" spans="1:10" x14ac:dyDescent="0.35">
      <c r="A84" t="s">
        <v>10</v>
      </c>
      <c r="B84" t="s">
        <v>20</v>
      </c>
      <c r="C84" t="s">
        <v>21</v>
      </c>
      <c r="D84" t="s">
        <v>13</v>
      </c>
      <c r="E84" t="s">
        <v>19</v>
      </c>
      <c r="F84">
        <v>94.49</v>
      </c>
      <c r="G84">
        <v>8</v>
      </c>
      <c r="H84">
        <v>37.795999999999999</v>
      </c>
      <c r="I84">
        <f t="shared" si="1"/>
        <v>755.92</v>
      </c>
      <c r="J84">
        <v>793.71600000000001</v>
      </c>
    </row>
    <row r="85" spans="1:10" x14ac:dyDescent="0.35">
      <c r="A85" t="s">
        <v>10</v>
      </c>
      <c r="B85" t="s">
        <v>15</v>
      </c>
      <c r="C85" t="s">
        <v>16</v>
      </c>
      <c r="D85" t="s">
        <v>17</v>
      </c>
      <c r="E85" t="s">
        <v>19</v>
      </c>
      <c r="F85">
        <v>69.81</v>
      </c>
      <c r="G85">
        <v>4</v>
      </c>
      <c r="H85">
        <v>13.962</v>
      </c>
      <c r="I85">
        <f t="shared" si="1"/>
        <v>279.24</v>
      </c>
      <c r="J85">
        <v>293.202</v>
      </c>
    </row>
    <row r="86" spans="1:10" x14ac:dyDescent="0.35">
      <c r="A86" t="s">
        <v>10</v>
      </c>
      <c r="B86" t="s">
        <v>20</v>
      </c>
      <c r="C86" t="s">
        <v>21</v>
      </c>
      <c r="D86" t="s">
        <v>17</v>
      </c>
      <c r="E86" t="s">
        <v>19</v>
      </c>
      <c r="F86">
        <v>77.040000000000006</v>
      </c>
      <c r="G86">
        <v>3</v>
      </c>
      <c r="H86">
        <v>11.555999999999999</v>
      </c>
      <c r="I86">
        <f t="shared" si="1"/>
        <v>231.12</v>
      </c>
      <c r="J86">
        <v>242.67600000000002</v>
      </c>
    </row>
    <row r="87" spans="1:10" x14ac:dyDescent="0.35">
      <c r="A87" t="s">
        <v>10</v>
      </c>
      <c r="B87" t="s">
        <v>20</v>
      </c>
      <c r="C87" t="s">
        <v>21</v>
      </c>
      <c r="D87" t="s">
        <v>17</v>
      </c>
      <c r="E87" t="s">
        <v>23</v>
      </c>
      <c r="F87">
        <v>73.52</v>
      </c>
      <c r="G87">
        <v>2</v>
      </c>
      <c r="H87">
        <v>7.3520000000000003</v>
      </c>
      <c r="I87">
        <f t="shared" si="1"/>
        <v>147.04</v>
      </c>
      <c r="J87">
        <v>154.392</v>
      </c>
    </row>
    <row r="88" spans="1:10" x14ac:dyDescent="0.35">
      <c r="A88" t="s">
        <v>10</v>
      </c>
      <c r="B88" t="s">
        <v>15</v>
      </c>
      <c r="C88" t="s">
        <v>16</v>
      </c>
      <c r="D88" t="s">
        <v>17</v>
      </c>
      <c r="E88" t="s">
        <v>22</v>
      </c>
      <c r="F88">
        <v>87.8</v>
      </c>
      <c r="G88">
        <v>9</v>
      </c>
      <c r="H88">
        <v>39.51</v>
      </c>
      <c r="I88">
        <f t="shared" si="1"/>
        <v>790.19999999999993</v>
      </c>
      <c r="J88">
        <v>829.70999999999992</v>
      </c>
    </row>
    <row r="89" spans="1:10" x14ac:dyDescent="0.35">
      <c r="A89" t="s">
        <v>10</v>
      </c>
      <c r="B89" t="s">
        <v>15</v>
      </c>
      <c r="C89" t="s">
        <v>16</v>
      </c>
      <c r="D89" t="s">
        <v>13</v>
      </c>
      <c r="E89" t="s">
        <v>23</v>
      </c>
      <c r="F89">
        <v>74.290000000000006</v>
      </c>
      <c r="G89">
        <v>1</v>
      </c>
      <c r="H89">
        <v>3.7145000000000001</v>
      </c>
      <c r="I89">
        <f t="shared" si="1"/>
        <v>74.290000000000006</v>
      </c>
      <c r="J89">
        <v>78.004500000000007</v>
      </c>
    </row>
    <row r="90" spans="1:10" x14ac:dyDescent="0.35">
      <c r="A90" t="s">
        <v>10</v>
      </c>
      <c r="B90" t="s">
        <v>11</v>
      </c>
      <c r="C90" t="s">
        <v>12</v>
      </c>
      <c r="D90" t="s">
        <v>17</v>
      </c>
      <c r="E90" t="s">
        <v>19</v>
      </c>
      <c r="F90">
        <v>25.29</v>
      </c>
      <c r="G90">
        <v>1</v>
      </c>
      <c r="H90">
        <v>1.2645</v>
      </c>
      <c r="I90">
        <f t="shared" si="1"/>
        <v>25.29</v>
      </c>
      <c r="J90">
        <v>26.554499999999997</v>
      </c>
    </row>
    <row r="91" spans="1:10" x14ac:dyDescent="0.35">
      <c r="A91" t="s">
        <v>10</v>
      </c>
      <c r="B91" t="s">
        <v>15</v>
      </c>
      <c r="C91" t="s">
        <v>16</v>
      </c>
      <c r="D91" t="s">
        <v>13</v>
      </c>
      <c r="E91" t="s">
        <v>22</v>
      </c>
      <c r="F91">
        <v>71.39</v>
      </c>
      <c r="G91">
        <v>5</v>
      </c>
      <c r="H91">
        <v>178.47499999999999</v>
      </c>
      <c r="I91">
        <f t="shared" si="1"/>
        <v>356.95</v>
      </c>
      <c r="J91">
        <v>535.42499999999995</v>
      </c>
    </row>
    <row r="92" spans="1:10" x14ac:dyDescent="0.35">
      <c r="A92" t="s">
        <v>10</v>
      </c>
      <c r="B92" t="s">
        <v>15</v>
      </c>
      <c r="C92" t="s">
        <v>16</v>
      </c>
      <c r="D92" t="s">
        <v>13</v>
      </c>
      <c r="E92" t="s">
        <v>24</v>
      </c>
      <c r="F92">
        <v>19.149999999999999</v>
      </c>
      <c r="G92">
        <v>6</v>
      </c>
      <c r="H92">
        <v>5.7450000000000001</v>
      </c>
      <c r="I92">
        <f t="shared" si="1"/>
        <v>114.89999999999999</v>
      </c>
      <c r="J92">
        <v>120.645</v>
      </c>
    </row>
    <row r="93" spans="1:10" x14ac:dyDescent="0.35">
      <c r="A93" t="s">
        <v>10</v>
      </c>
      <c r="B93" t="s">
        <v>20</v>
      </c>
      <c r="C93" t="s">
        <v>21</v>
      </c>
      <c r="D93" t="s">
        <v>13</v>
      </c>
      <c r="E93" t="s">
        <v>18</v>
      </c>
      <c r="F93">
        <v>57.49</v>
      </c>
      <c r="G93">
        <v>4</v>
      </c>
      <c r="H93">
        <v>11.497999999999999</v>
      </c>
      <c r="I93">
        <f t="shared" si="1"/>
        <v>229.96</v>
      </c>
      <c r="J93">
        <v>241.458</v>
      </c>
    </row>
    <row r="94" spans="1:10" x14ac:dyDescent="0.35">
      <c r="A94" t="s">
        <v>10</v>
      </c>
      <c r="B94" t="s">
        <v>11</v>
      </c>
      <c r="C94" t="s">
        <v>12</v>
      </c>
      <c r="D94" t="s">
        <v>17</v>
      </c>
      <c r="E94" t="s">
        <v>14</v>
      </c>
      <c r="F94">
        <v>23.03</v>
      </c>
      <c r="G94">
        <v>9</v>
      </c>
      <c r="H94">
        <v>10.3635</v>
      </c>
      <c r="I94">
        <f t="shared" si="1"/>
        <v>207.27</v>
      </c>
      <c r="J94">
        <v>217.6335</v>
      </c>
    </row>
    <row r="95" spans="1:10" x14ac:dyDescent="0.35">
      <c r="A95" t="s">
        <v>10</v>
      </c>
      <c r="B95" t="s">
        <v>15</v>
      </c>
      <c r="C95" t="s">
        <v>16</v>
      </c>
      <c r="D95" t="s">
        <v>13</v>
      </c>
      <c r="E95" t="s">
        <v>18</v>
      </c>
      <c r="F95">
        <v>66.650000000000006</v>
      </c>
      <c r="G95">
        <v>9</v>
      </c>
      <c r="H95">
        <v>299.92500000000001</v>
      </c>
      <c r="I95">
        <f t="shared" si="1"/>
        <v>599.85</v>
      </c>
      <c r="J95">
        <v>899.77500000000009</v>
      </c>
    </row>
    <row r="96" spans="1:10" x14ac:dyDescent="0.35">
      <c r="A96" t="s">
        <v>10</v>
      </c>
      <c r="B96" t="s">
        <v>15</v>
      </c>
      <c r="C96" t="s">
        <v>16</v>
      </c>
      <c r="D96" t="s">
        <v>13</v>
      </c>
      <c r="E96" t="s">
        <v>19</v>
      </c>
      <c r="F96">
        <v>28.53</v>
      </c>
      <c r="G96">
        <v>10</v>
      </c>
      <c r="H96">
        <v>14.265000000000001</v>
      </c>
      <c r="I96">
        <f t="shared" si="1"/>
        <v>285.3</v>
      </c>
      <c r="J96">
        <v>299.565</v>
      </c>
    </row>
    <row r="97" spans="1:10" x14ac:dyDescent="0.35">
      <c r="A97" t="s">
        <v>10</v>
      </c>
      <c r="B97" t="s">
        <v>20</v>
      </c>
      <c r="C97" t="s">
        <v>21</v>
      </c>
      <c r="D97" t="s">
        <v>17</v>
      </c>
      <c r="E97" t="s">
        <v>23</v>
      </c>
      <c r="F97">
        <v>30.37</v>
      </c>
      <c r="G97">
        <v>3</v>
      </c>
      <c r="H97">
        <v>4.5555000000000003</v>
      </c>
      <c r="I97">
        <f t="shared" si="1"/>
        <v>91.11</v>
      </c>
      <c r="J97">
        <v>95.665499999999994</v>
      </c>
    </row>
    <row r="98" spans="1:10" x14ac:dyDescent="0.35">
      <c r="A98" t="s">
        <v>10</v>
      </c>
      <c r="B98" t="s">
        <v>20</v>
      </c>
      <c r="C98" t="s">
        <v>21</v>
      </c>
      <c r="D98" t="s">
        <v>17</v>
      </c>
      <c r="E98" t="s">
        <v>18</v>
      </c>
      <c r="F98">
        <v>99.73</v>
      </c>
      <c r="G98">
        <v>9</v>
      </c>
      <c r="H98">
        <v>448.78500000000003</v>
      </c>
      <c r="I98">
        <f t="shared" si="1"/>
        <v>897.57</v>
      </c>
      <c r="J98">
        <v>1346.355</v>
      </c>
    </row>
    <row r="99" spans="1:10" x14ac:dyDescent="0.35">
      <c r="A99" t="s">
        <v>10</v>
      </c>
      <c r="B99" t="s">
        <v>15</v>
      </c>
      <c r="C99" t="s">
        <v>16</v>
      </c>
      <c r="D99" t="s">
        <v>17</v>
      </c>
      <c r="E99" t="s">
        <v>22</v>
      </c>
      <c r="F99">
        <v>93.26</v>
      </c>
      <c r="G99">
        <v>9</v>
      </c>
      <c r="H99">
        <v>41.966999999999999</v>
      </c>
      <c r="I99">
        <f t="shared" si="1"/>
        <v>839.34</v>
      </c>
      <c r="J99">
        <v>881.30700000000002</v>
      </c>
    </row>
    <row r="100" spans="1:10" x14ac:dyDescent="0.35">
      <c r="A100" t="s">
        <v>10</v>
      </c>
      <c r="B100" t="s">
        <v>20</v>
      </c>
      <c r="C100" t="s">
        <v>21</v>
      </c>
      <c r="D100" t="s">
        <v>13</v>
      </c>
      <c r="E100" t="s">
        <v>24</v>
      </c>
      <c r="F100">
        <v>29.61</v>
      </c>
      <c r="G100">
        <v>7</v>
      </c>
      <c r="H100">
        <v>10.3635</v>
      </c>
      <c r="I100">
        <f t="shared" si="1"/>
        <v>207.26999999999998</v>
      </c>
      <c r="J100">
        <v>217.63349999999997</v>
      </c>
    </row>
    <row r="101" spans="1:10" x14ac:dyDescent="0.35">
      <c r="A101" t="s">
        <v>10</v>
      </c>
      <c r="B101" t="s">
        <v>20</v>
      </c>
      <c r="C101" t="s">
        <v>21</v>
      </c>
      <c r="D101" t="s">
        <v>17</v>
      </c>
      <c r="E101" t="s">
        <v>24</v>
      </c>
      <c r="F101">
        <v>24.77</v>
      </c>
      <c r="G101">
        <v>5</v>
      </c>
      <c r="H101">
        <v>6.1924999999999999</v>
      </c>
      <c r="I101">
        <f t="shared" si="1"/>
        <v>123.85</v>
      </c>
      <c r="J101">
        <v>130.04249999999999</v>
      </c>
    </row>
    <row r="102" spans="1:10" x14ac:dyDescent="0.35">
      <c r="A102" t="s">
        <v>10</v>
      </c>
      <c r="B102" t="s">
        <v>11</v>
      </c>
      <c r="C102" t="s">
        <v>12</v>
      </c>
      <c r="D102" t="s">
        <v>13</v>
      </c>
      <c r="E102" t="s">
        <v>18</v>
      </c>
      <c r="F102">
        <v>94.64</v>
      </c>
      <c r="G102">
        <v>3</v>
      </c>
      <c r="H102">
        <v>14.196</v>
      </c>
      <c r="I102">
        <f t="shared" si="1"/>
        <v>283.92</v>
      </c>
      <c r="J102">
        <v>298.11600000000004</v>
      </c>
    </row>
    <row r="103" spans="1:10" x14ac:dyDescent="0.35">
      <c r="A103" t="s">
        <v>10</v>
      </c>
      <c r="B103" t="s">
        <v>20</v>
      </c>
      <c r="C103" t="s">
        <v>21</v>
      </c>
      <c r="D103" t="s">
        <v>17</v>
      </c>
      <c r="E103" t="s">
        <v>22</v>
      </c>
      <c r="F103">
        <v>57.34</v>
      </c>
      <c r="G103">
        <v>3</v>
      </c>
      <c r="H103">
        <v>8.6010000000000009</v>
      </c>
      <c r="I103">
        <f t="shared" si="1"/>
        <v>172.02</v>
      </c>
      <c r="J103">
        <v>180.62100000000001</v>
      </c>
    </row>
    <row r="104" spans="1:10" x14ac:dyDescent="0.35">
      <c r="A104" t="s">
        <v>10</v>
      </c>
      <c r="B104" t="s">
        <v>15</v>
      </c>
      <c r="C104" t="s">
        <v>16</v>
      </c>
      <c r="D104" t="s">
        <v>13</v>
      </c>
      <c r="E104" t="s">
        <v>23</v>
      </c>
      <c r="F104">
        <v>12.54</v>
      </c>
      <c r="G104">
        <v>1</v>
      </c>
      <c r="H104">
        <v>627</v>
      </c>
      <c r="I104">
        <f t="shared" si="1"/>
        <v>12.54</v>
      </c>
      <c r="J104">
        <v>639.54</v>
      </c>
    </row>
    <row r="105" spans="1:10" x14ac:dyDescent="0.35">
      <c r="A105" t="s">
        <v>10</v>
      </c>
      <c r="B105" t="s">
        <v>15</v>
      </c>
      <c r="C105" t="s">
        <v>16</v>
      </c>
      <c r="D105" t="s">
        <v>13</v>
      </c>
      <c r="E105" t="s">
        <v>24</v>
      </c>
      <c r="F105">
        <v>87.16</v>
      </c>
      <c r="G105">
        <v>2</v>
      </c>
      <c r="H105">
        <v>8.7159999999999993</v>
      </c>
      <c r="I105">
        <f t="shared" si="1"/>
        <v>174.32</v>
      </c>
      <c r="J105">
        <v>183.036</v>
      </c>
    </row>
    <row r="106" spans="1:10" x14ac:dyDescent="0.35">
      <c r="A106" t="s">
        <v>10</v>
      </c>
      <c r="B106" t="s">
        <v>20</v>
      </c>
      <c r="C106" t="s">
        <v>21</v>
      </c>
      <c r="D106" t="s">
        <v>13</v>
      </c>
      <c r="E106" t="s">
        <v>18</v>
      </c>
      <c r="F106">
        <v>90.7</v>
      </c>
      <c r="G106">
        <v>6</v>
      </c>
      <c r="H106">
        <v>27.21</v>
      </c>
      <c r="I106">
        <f t="shared" si="1"/>
        <v>544.20000000000005</v>
      </c>
      <c r="J106">
        <v>571.41000000000008</v>
      </c>
    </row>
    <row r="107" spans="1:10" x14ac:dyDescent="0.35">
      <c r="A107" t="s">
        <v>10</v>
      </c>
      <c r="B107" t="s">
        <v>11</v>
      </c>
      <c r="C107" t="s">
        <v>12</v>
      </c>
      <c r="D107" t="s">
        <v>17</v>
      </c>
      <c r="E107" t="s">
        <v>19</v>
      </c>
      <c r="F107">
        <v>63.42</v>
      </c>
      <c r="G107">
        <v>8</v>
      </c>
      <c r="H107">
        <v>25.367999999999999</v>
      </c>
      <c r="I107">
        <f t="shared" si="1"/>
        <v>507.36</v>
      </c>
      <c r="J107">
        <v>532.72800000000007</v>
      </c>
    </row>
    <row r="108" spans="1:10" x14ac:dyDescent="0.35">
      <c r="A108" t="s">
        <v>10</v>
      </c>
      <c r="B108" t="s">
        <v>20</v>
      </c>
      <c r="C108" t="s">
        <v>21</v>
      </c>
      <c r="D108" t="s">
        <v>17</v>
      </c>
      <c r="E108" t="s">
        <v>23</v>
      </c>
      <c r="F108">
        <v>81.37</v>
      </c>
      <c r="G108">
        <v>2</v>
      </c>
      <c r="H108">
        <v>8.1370000000000005</v>
      </c>
      <c r="I108">
        <f t="shared" si="1"/>
        <v>162.74</v>
      </c>
      <c r="J108">
        <v>170.87700000000001</v>
      </c>
    </row>
    <row r="109" spans="1:10" x14ac:dyDescent="0.35">
      <c r="A109" t="s">
        <v>10</v>
      </c>
      <c r="B109" t="s">
        <v>20</v>
      </c>
      <c r="C109" t="s">
        <v>21</v>
      </c>
      <c r="D109" t="s">
        <v>13</v>
      </c>
      <c r="E109" t="s">
        <v>18</v>
      </c>
      <c r="F109">
        <v>10.59</v>
      </c>
      <c r="G109">
        <v>3</v>
      </c>
      <c r="H109">
        <v>1.5885</v>
      </c>
      <c r="I109">
        <f t="shared" si="1"/>
        <v>31.77</v>
      </c>
      <c r="J109">
        <v>33.358499999999999</v>
      </c>
    </row>
    <row r="110" spans="1:10" x14ac:dyDescent="0.35">
      <c r="A110" t="s">
        <v>10</v>
      </c>
      <c r="B110" t="s">
        <v>20</v>
      </c>
      <c r="C110" t="s">
        <v>21</v>
      </c>
      <c r="D110" t="s">
        <v>17</v>
      </c>
      <c r="E110" t="s">
        <v>14</v>
      </c>
      <c r="F110">
        <v>84.09</v>
      </c>
      <c r="G110">
        <v>9</v>
      </c>
      <c r="H110">
        <v>378.40499999999997</v>
      </c>
      <c r="I110">
        <f t="shared" si="1"/>
        <v>756.81000000000006</v>
      </c>
      <c r="J110">
        <v>1135.2150000000001</v>
      </c>
    </row>
    <row r="111" spans="1:10" x14ac:dyDescent="0.35">
      <c r="A111" t="s">
        <v>10</v>
      </c>
      <c r="B111" t="s">
        <v>11</v>
      </c>
      <c r="C111" t="s">
        <v>12</v>
      </c>
      <c r="D111" t="s">
        <v>17</v>
      </c>
      <c r="E111" t="s">
        <v>24</v>
      </c>
      <c r="F111">
        <v>93.14</v>
      </c>
      <c r="G111">
        <v>2</v>
      </c>
      <c r="H111">
        <v>9.3140000000000001</v>
      </c>
      <c r="I111">
        <f t="shared" si="1"/>
        <v>186.28</v>
      </c>
      <c r="J111">
        <v>195.59399999999999</v>
      </c>
    </row>
    <row r="112" spans="1:10" x14ac:dyDescent="0.35">
      <c r="A112" t="s">
        <v>10</v>
      </c>
      <c r="B112" t="s">
        <v>15</v>
      </c>
      <c r="C112" t="s">
        <v>16</v>
      </c>
      <c r="D112" t="s">
        <v>13</v>
      </c>
      <c r="E112" t="s">
        <v>23</v>
      </c>
      <c r="F112">
        <v>44.22</v>
      </c>
      <c r="G112">
        <v>5</v>
      </c>
      <c r="H112">
        <v>11.055</v>
      </c>
      <c r="I112">
        <f t="shared" si="1"/>
        <v>221.1</v>
      </c>
      <c r="J112">
        <v>232.155</v>
      </c>
    </row>
    <row r="113" spans="1:10" x14ac:dyDescent="0.35">
      <c r="A113" t="s">
        <v>10</v>
      </c>
      <c r="B113" t="s">
        <v>20</v>
      </c>
      <c r="C113" t="s">
        <v>21</v>
      </c>
      <c r="D113" t="s">
        <v>13</v>
      </c>
      <c r="E113" t="s">
        <v>18</v>
      </c>
      <c r="F113">
        <v>13.22</v>
      </c>
      <c r="G113">
        <v>5</v>
      </c>
      <c r="H113">
        <v>3.3050000000000002</v>
      </c>
      <c r="I113">
        <f t="shared" si="1"/>
        <v>66.100000000000009</v>
      </c>
      <c r="J113">
        <v>69.405000000000015</v>
      </c>
    </row>
    <row r="114" spans="1:10" x14ac:dyDescent="0.35">
      <c r="A114" t="s">
        <v>10</v>
      </c>
      <c r="B114" t="s">
        <v>20</v>
      </c>
      <c r="C114" t="s">
        <v>21</v>
      </c>
      <c r="D114" t="s">
        <v>13</v>
      </c>
      <c r="E114" t="s">
        <v>18</v>
      </c>
      <c r="F114">
        <v>81.400000000000006</v>
      </c>
      <c r="G114">
        <v>3</v>
      </c>
      <c r="H114">
        <v>12.21</v>
      </c>
      <c r="I114">
        <f t="shared" si="1"/>
        <v>244.20000000000002</v>
      </c>
      <c r="J114">
        <v>256.41000000000003</v>
      </c>
    </row>
    <row r="115" spans="1:10" x14ac:dyDescent="0.35">
      <c r="A115" t="s">
        <v>10</v>
      </c>
      <c r="B115" t="s">
        <v>15</v>
      </c>
      <c r="C115" t="s">
        <v>16</v>
      </c>
      <c r="D115" t="s">
        <v>17</v>
      </c>
      <c r="E115" t="s">
        <v>24</v>
      </c>
      <c r="F115">
        <v>14.39</v>
      </c>
      <c r="G115">
        <v>2</v>
      </c>
      <c r="H115">
        <v>1.4390000000000001</v>
      </c>
      <c r="I115">
        <f t="shared" si="1"/>
        <v>28.78</v>
      </c>
      <c r="J115">
        <v>30.219000000000001</v>
      </c>
    </row>
    <row r="116" spans="1:10" x14ac:dyDescent="0.35">
      <c r="A116" t="s">
        <v>10</v>
      </c>
      <c r="B116" t="s">
        <v>11</v>
      </c>
      <c r="C116" t="s">
        <v>12</v>
      </c>
      <c r="D116" t="s">
        <v>17</v>
      </c>
      <c r="E116" t="s">
        <v>18</v>
      </c>
      <c r="F116">
        <v>75.06</v>
      </c>
      <c r="G116">
        <v>9</v>
      </c>
      <c r="H116">
        <v>33.777000000000001</v>
      </c>
      <c r="I116">
        <f t="shared" si="1"/>
        <v>675.54</v>
      </c>
      <c r="J116">
        <v>709.31700000000001</v>
      </c>
    </row>
    <row r="117" spans="1:10" x14ac:dyDescent="0.35">
      <c r="A117" t="s">
        <v>10</v>
      </c>
      <c r="B117" t="s">
        <v>15</v>
      </c>
      <c r="C117" t="s">
        <v>16</v>
      </c>
      <c r="D117" t="s">
        <v>17</v>
      </c>
      <c r="E117" t="s">
        <v>23</v>
      </c>
      <c r="F117">
        <v>16.45</v>
      </c>
      <c r="G117">
        <v>4</v>
      </c>
      <c r="H117">
        <v>3.29</v>
      </c>
      <c r="I117">
        <f t="shared" si="1"/>
        <v>65.8</v>
      </c>
      <c r="J117">
        <v>69.09</v>
      </c>
    </row>
    <row r="118" spans="1:10" x14ac:dyDescent="0.35">
      <c r="A118" t="s">
        <v>10</v>
      </c>
      <c r="B118" t="s">
        <v>20</v>
      </c>
      <c r="C118" t="s">
        <v>21</v>
      </c>
      <c r="D118" t="s">
        <v>13</v>
      </c>
      <c r="E118" t="s">
        <v>23</v>
      </c>
      <c r="F118">
        <v>38.299999999999997</v>
      </c>
      <c r="G118">
        <v>4</v>
      </c>
      <c r="H118">
        <v>7.66</v>
      </c>
      <c r="I118">
        <f t="shared" si="1"/>
        <v>153.19999999999999</v>
      </c>
      <c r="J118">
        <v>160.85999999999999</v>
      </c>
    </row>
    <row r="119" spans="1:10" x14ac:dyDescent="0.35">
      <c r="A119" t="s">
        <v>10</v>
      </c>
      <c r="B119" t="s">
        <v>11</v>
      </c>
      <c r="C119" t="s">
        <v>12</v>
      </c>
      <c r="D119" t="s">
        <v>13</v>
      </c>
      <c r="E119" t="s">
        <v>24</v>
      </c>
      <c r="F119">
        <v>22.24</v>
      </c>
      <c r="G119">
        <v>10</v>
      </c>
      <c r="H119">
        <v>11.12</v>
      </c>
      <c r="I119">
        <f t="shared" si="1"/>
        <v>222.39999999999998</v>
      </c>
      <c r="J119">
        <v>233.51999999999998</v>
      </c>
    </row>
    <row r="120" spans="1:10" x14ac:dyDescent="0.35">
      <c r="A120" t="s">
        <v>10</v>
      </c>
      <c r="B120" t="s">
        <v>11</v>
      </c>
      <c r="C120" t="s">
        <v>12</v>
      </c>
      <c r="D120" t="s">
        <v>13</v>
      </c>
      <c r="E120" t="s">
        <v>24</v>
      </c>
      <c r="F120">
        <v>98.4</v>
      </c>
      <c r="G120">
        <v>7</v>
      </c>
      <c r="H120">
        <v>34.44</v>
      </c>
      <c r="I120">
        <f t="shared" si="1"/>
        <v>688.80000000000007</v>
      </c>
      <c r="J120">
        <v>723.24</v>
      </c>
    </row>
    <row r="121" spans="1:10" x14ac:dyDescent="0.35">
      <c r="A121" t="s">
        <v>10</v>
      </c>
      <c r="B121" t="s">
        <v>20</v>
      </c>
      <c r="C121" t="s">
        <v>21</v>
      </c>
      <c r="D121" t="s">
        <v>13</v>
      </c>
      <c r="E121" t="s">
        <v>22</v>
      </c>
      <c r="F121">
        <v>74.599999999999994</v>
      </c>
      <c r="G121">
        <v>10</v>
      </c>
      <c r="H121">
        <v>37.299999999999997</v>
      </c>
      <c r="I121">
        <f t="shared" si="1"/>
        <v>746</v>
      </c>
      <c r="J121">
        <v>783.3</v>
      </c>
    </row>
    <row r="122" spans="1:10" x14ac:dyDescent="0.35">
      <c r="A122" t="s">
        <v>10</v>
      </c>
      <c r="B122" t="s">
        <v>11</v>
      </c>
      <c r="C122" t="s">
        <v>12</v>
      </c>
      <c r="D122" t="s">
        <v>13</v>
      </c>
      <c r="E122" t="s">
        <v>19</v>
      </c>
      <c r="F122">
        <v>35.54</v>
      </c>
      <c r="G122">
        <v>10</v>
      </c>
      <c r="H122">
        <v>17.77</v>
      </c>
      <c r="I122">
        <f t="shared" si="1"/>
        <v>355.4</v>
      </c>
      <c r="J122">
        <v>373.16999999999996</v>
      </c>
    </row>
    <row r="123" spans="1:10" x14ac:dyDescent="0.35">
      <c r="A123" t="s">
        <v>10</v>
      </c>
      <c r="B123" t="s">
        <v>20</v>
      </c>
      <c r="C123" t="s">
        <v>21</v>
      </c>
      <c r="D123" t="s">
        <v>17</v>
      </c>
      <c r="E123" t="s">
        <v>24</v>
      </c>
      <c r="F123">
        <v>67.430000000000007</v>
      </c>
      <c r="G123">
        <v>5</v>
      </c>
      <c r="H123">
        <v>168.57499999999999</v>
      </c>
      <c r="I123">
        <f t="shared" si="1"/>
        <v>337.15000000000003</v>
      </c>
      <c r="J123">
        <v>505.72500000000002</v>
      </c>
    </row>
    <row r="124" spans="1:10" x14ac:dyDescent="0.35">
      <c r="A124" t="s">
        <v>10</v>
      </c>
      <c r="B124" t="s">
        <v>15</v>
      </c>
      <c r="C124" t="s">
        <v>16</v>
      </c>
      <c r="D124" t="s">
        <v>13</v>
      </c>
      <c r="E124" t="s">
        <v>14</v>
      </c>
      <c r="F124">
        <v>21.12</v>
      </c>
      <c r="G124">
        <v>2</v>
      </c>
      <c r="H124">
        <v>2.1120000000000001</v>
      </c>
      <c r="I124">
        <f t="shared" si="1"/>
        <v>42.24</v>
      </c>
      <c r="J124">
        <v>44.352000000000004</v>
      </c>
    </row>
    <row r="125" spans="1:10" x14ac:dyDescent="0.35">
      <c r="A125" t="s">
        <v>10</v>
      </c>
      <c r="B125" t="s">
        <v>11</v>
      </c>
      <c r="C125" t="s">
        <v>12</v>
      </c>
      <c r="D125" t="s">
        <v>13</v>
      </c>
      <c r="E125" t="s">
        <v>19</v>
      </c>
      <c r="F125">
        <v>21.54</v>
      </c>
      <c r="G125">
        <v>9</v>
      </c>
      <c r="H125">
        <v>9.6929999999999996</v>
      </c>
      <c r="I125">
        <f t="shared" si="1"/>
        <v>193.85999999999999</v>
      </c>
      <c r="J125">
        <v>203.553</v>
      </c>
    </row>
    <row r="126" spans="1:10" x14ac:dyDescent="0.35">
      <c r="A126" t="s">
        <v>10</v>
      </c>
      <c r="B126" t="s">
        <v>11</v>
      </c>
      <c r="C126" t="s">
        <v>12</v>
      </c>
      <c r="D126" t="s">
        <v>17</v>
      </c>
      <c r="E126" t="s">
        <v>19</v>
      </c>
      <c r="F126">
        <v>12.03</v>
      </c>
      <c r="G126">
        <v>2</v>
      </c>
      <c r="H126">
        <v>1.2030000000000001</v>
      </c>
      <c r="I126">
        <f t="shared" si="1"/>
        <v>24.06</v>
      </c>
      <c r="J126">
        <v>25.262999999999998</v>
      </c>
    </row>
    <row r="127" spans="1:10" x14ac:dyDescent="0.35">
      <c r="A127" t="s">
        <v>10</v>
      </c>
      <c r="B127" t="s">
        <v>20</v>
      </c>
      <c r="C127" t="s">
        <v>21</v>
      </c>
      <c r="D127" t="s">
        <v>17</v>
      </c>
      <c r="E127" t="s">
        <v>14</v>
      </c>
      <c r="F127">
        <v>99.71</v>
      </c>
      <c r="G127">
        <v>6</v>
      </c>
      <c r="H127">
        <v>29.913</v>
      </c>
      <c r="I127">
        <f t="shared" si="1"/>
        <v>598.26</v>
      </c>
      <c r="J127">
        <v>628.173</v>
      </c>
    </row>
    <row r="128" spans="1:10" x14ac:dyDescent="0.35">
      <c r="A128" t="s">
        <v>10</v>
      </c>
      <c r="B128" t="s">
        <v>15</v>
      </c>
      <c r="C128" t="s">
        <v>16</v>
      </c>
      <c r="D128" t="s">
        <v>13</v>
      </c>
      <c r="E128" t="s">
        <v>19</v>
      </c>
      <c r="F128">
        <v>21.82</v>
      </c>
      <c r="G128">
        <v>10</v>
      </c>
      <c r="H128">
        <v>10.91</v>
      </c>
      <c r="I128">
        <f t="shared" si="1"/>
        <v>218.2</v>
      </c>
      <c r="J128">
        <v>229.10999999999999</v>
      </c>
    </row>
    <row r="129" spans="1:10" x14ac:dyDescent="0.35">
      <c r="A129" t="s">
        <v>10</v>
      </c>
      <c r="B129" t="s">
        <v>15</v>
      </c>
      <c r="C129" t="s">
        <v>16</v>
      </c>
      <c r="D129" t="s">
        <v>17</v>
      </c>
      <c r="E129" t="s">
        <v>23</v>
      </c>
      <c r="F129">
        <v>95.42</v>
      </c>
      <c r="G129">
        <v>4</v>
      </c>
      <c r="H129">
        <v>19.084</v>
      </c>
      <c r="I129">
        <f t="shared" si="1"/>
        <v>381.68</v>
      </c>
      <c r="J129">
        <v>400.76400000000001</v>
      </c>
    </row>
    <row r="130" spans="1:10" x14ac:dyDescent="0.35">
      <c r="A130" t="s">
        <v>10</v>
      </c>
      <c r="B130" t="s">
        <v>11</v>
      </c>
      <c r="C130" t="s">
        <v>12</v>
      </c>
      <c r="D130" t="s">
        <v>17</v>
      </c>
      <c r="E130" t="s">
        <v>19</v>
      </c>
      <c r="F130">
        <v>69.959999999999994</v>
      </c>
      <c r="G130">
        <v>8</v>
      </c>
      <c r="H130">
        <v>27.984000000000002</v>
      </c>
      <c r="I130">
        <f t="shared" si="1"/>
        <v>559.67999999999995</v>
      </c>
      <c r="J130">
        <v>587.66399999999999</v>
      </c>
    </row>
    <row r="131" spans="1:10" x14ac:dyDescent="0.35">
      <c r="A131" t="s">
        <v>10</v>
      </c>
      <c r="B131" t="s">
        <v>11</v>
      </c>
      <c r="C131" t="s">
        <v>12</v>
      </c>
      <c r="D131" t="s">
        <v>17</v>
      </c>
      <c r="E131" t="s">
        <v>24</v>
      </c>
      <c r="F131">
        <v>15.34</v>
      </c>
      <c r="G131">
        <v>1</v>
      </c>
      <c r="H131">
        <v>767</v>
      </c>
      <c r="I131">
        <f t="shared" ref="I131:I194" si="2">F131*G131</f>
        <v>15.34</v>
      </c>
      <c r="J131">
        <v>782.34</v>
      </c>
    </row>
    <row r="132" spans="1:10" x14ac:dyDescent="0.35">
      <c r="A132" t="s">
        <v>10</v>
      </c>
      <c r="B132" t="s">
        <v>11</v>
      </c>
      <c r="C132" t="s">
        <v>12</v>
      </c>
      <c r="D132" t="s">
        <v>13</v>
      </c>
      <c r="E132" t="s">
        <v>14</v>
      </c>
      <c r="F132">
        <v>47.67</v>
      </c>
      <c r="G132">
        <v>4</v>
      </c>
      <c r="H132">
        <v>9.5340000000000007</v>
      </c>
      <c r="I132">
        <f t="shared" si="2"/>
        <v>190.68</v>
      </c>
      <c r="J132">
        <v>200.214</v>
      </c>
    </row>
    <row r="133" spans="1:10" x14ac:dyDescent="0.35">
      <c r="A133" t="s">
        <v>10</v>
      </c>
      <c r="B133" t="s">
        <v>15</v>
      </c>
      <c r="C133" t="s">
        <v>16</v>
      </c>
      <c r="D133" t="s">
        <v>17</v>
      </c>
      <c r="E133" t="s">
        <v>24</v>
      </c>
      <c r="F133">
        <v>23.75</v>
      </c>
      <c r="G133">
        <v>9</v>
      </c>
      <c r="H133">
        <v>10.6875</v>
      </c>
      <c r="I133">
        <f t="shared" si="2"/>
        <v>213.75</v>
      </c>
      <c r="J133">
        <v>224.4375</v>
      </c>
    </row>
    <row r="134" spans="1:10" x14ac:dyDescent="0.35">
      <c r="A134" t="s">
        <v>10</v>
      </c>
      <c r="B134" t="s">
        <v>20</v>
      </c>
      <c r="C134" t="s">
        <v>21</v>
      </c>
      <c r="D134" t="s">
        <v>17</v>
      </c>
      <c r="E134" t="s">
        <v>22</v>
      </c>
      <c r="F134">
        <v>48.51</v>
      </c>
      <c r="G134">
        <v>7</v>
      </c>
      <c r="H134">
        <v>169.785</v>
      </c>
      <c r="I134">
        <f t="shared" si="2"/>
        <v>339.57</v>
      </c>
      <c r="J134">
        <v>509.35500000000002</v>
      </c>
    </row>
    <row r="135" spans="1:10" x14ac:dyDescent="0.35">
      <c r="A135" t="s">
        <v>10</v>
      </c>
      <c r="B135" t="s">
        <v>11</v>
      </c>
      <c r="C135" t="s">
        <v>12</v>
      </c>
      <c r="D135" t="s">
        <v>13</v>
      </c>
      <c r="E135" t="s">
        <v>19</v>
      </c>
      <c r="F135">
        <v>94.88</v>
      </c>
      <c r="G135">
        <v>7</v>
      </c>
      <c r="H135">
        <v>33.207999999999998</v>
      </c>
      <c r="I135">
        <f t="shared" si="2"/>
        <v>664.16</v>
      </c>
      <c r="J135">
        <v>697.36799999999994</v>
      </c>
    </row>
    <row r="136" spans="1:10" x14ac:dyDescent="0.35">
      <c r="A136" t="s">
        <v>10</v>
      </c>
      <c r="B136" t="s">
        <v>11</v>
      </c>
      <c r="C136" t="s">
        <v>12</v>
      </c>
      <c r="D136" t="s">
        <v>13</v>
      </c>
      <c r="E136" t="s">
        <v>18</v>
      </c>
      <c r="F136">
        <v>62.48</v>
      </c>
      <c r="G136">
        <v>1</v>
      </c>
      <c r="H136">
        <v>3.1240000000000001</v>
      </c>
      <c r="I136">
        <f t="shared" si="2"/>
        <v>62.48</v>
      </c>
      <c r="J136">
        <v>65.603999999999999</v>
      </c>
    </row>
    <row r="137" spans="1:10" x14ac:dyDescent="0.35">
      <c r="A137" t="s">
        <v>10</v>
      </c>
      <c r="B137" t="s">
        <v>11</v>
      </c>
      <c r="C137" t="s">
        <v>12</v>
      </c>
      <c r="D137" t="s">
        <v>13</v>
      </c>
      <c r="E137" t="s">
        <v>22</v>
      </c>
      <c r="F137">
        <v>36.36</v>
      </c>
      <c r="G137">
        <v>2</v>
      </c>
      <c r="H137">
        <v>3.6360000000000001</v>
      </c>
      <c r="I137">
        <f t="shared" si="2"/>
        <v>72.72</v>
      </c>
      <c r="J137">
        <v>76.355999999999995</v>
      </c>
    </row>
    <row r="138" spans="1:10" x14ac:dyDescent="0.35">
      <c r="A138" t="s">
        <v>10</v>
      </c>
      <c r="B138" t="s">
        <v>15</v>
      </c>
      <c r="C138" t="s">
        <v>16</v>
      </c>
      <c r="D138" t="s">
        <v>13</v>
      </c>
      <c r="E138" t="s">
        <v>18</v>
      </c>
      <c r="F138">
        <v>51.92</v>
      </c>
      <c r="G138">
        <v>5</v>
      </c>
      <c r="H138">
        <v>12.98</v>
      </c>
      <c r="I138">
        <f t="shared" si="2"/>
        <v>259.60000000000002</v>
      </c>
      <c r="J138">
        <v>272.58000000000004</v>
      </c>
    </row>
    <row r="139" spans="1:10" x14ac:dyDescent="0.35">
      <c r="A139" t="s">
        <v>10</v>
      </c>
      <c r="B139" t="s">
        <v>15</v>
      </c>
      <c r="C139" t="s">
        <v>16</v>
      </c>
      <c r="D139" t="s">
        <v>13</v>
      </c>
      <c r="E139" t="s">
        <v>19</v>
      </c>
      <c r="F139">
        <v>88.61</v>
      </c>
      <c r="G139">
        <v>1</v>
      </c>
      <c r="H139">
        <v>4.4305000000000003</v>
      </c>
      <c r="I139">
        <f t="shared" si="2"/>
        <v>88.61</v>
      </c>
      <c r="J139">
        <v>93.040499999999994</v>
      </c>
    </row>
    <row r="140" spans="1:10" x14ac:dyDescent="0.35">
      <c r="A140" t="s">
        <v>10</v>
      </c>
      <c r="B140" t="s">
        <v>11</v>
      </c>
      <c r="C140" t="s">
        <v>12</v>
      </c>
      <c r="D140" t="s">
        <v>17</v>
      </c>
      <c r="E140" t="s">
        <v>18</v>
      </c>
      <c r="F140">
        <v>51.19</v>
      </c>
      <c r="G140">
        <v>4</v>
      </c>
      <c r="H140">
        <v>10.238</v>
      </c>
      <c r="I140">
        <f t="shared" si="2"/>
        <v>204.76</v>
      </c>
      <c r="J140">
        <v>214.99799999999999</v>
      </c>
    </row>
    <row r="141" spans="1:10" x14ac:dyDescent="0.35">
      <c r="A141" t="s">
        <v>10</v>
      </c>
      <c r="B141" t="s">
        <v>20</v>
      </c>
      <c r="C141" t="s">
        <v>21</v>
      </c>
      <c r="D141" t="s">
        <v>17</v>
      </c>
      <c r="E141" t="s">
        <v>18</v>
      </c>
      <c r="F141">
        <v>14.96</v>
      </c>
      <c r="G141">
        <v>8</v>
      </c>
      <c r="H141">
        <v>5.984</v>
      </c>
      <c r="I141">
        <f t="shared" si="2"/>
        <v>119.68</v>
      </c>
      <c r="J141">
        <v>125.664</v>
      </c>
    </row>
    <row r="142" spans="1:10" x14ac:dyDescent="0.35">
      <c r="A142" t="s">
        <v>10</v>
      </c>
      <c r="B142" t="s">
        <v>11</v>
      </c>
      <c r="C142" t="s">
        <v>12</v>
      </c>
      <c r="D142" t="s">
        <v>17</v>
      </c>
      <c r="E142" t="s">
        <v>24</v>
      </c>
      <c r="F142">
        <v>40.229999999999997</v>
      </c>
      <c r="G142">
        <v>7</v>
      </c>
      <c r="H142">
        <v>140.80500000000001</v>
      </c>
      <c r="I142">
        <f t="shared" si="2"/>
        <v>281.60999999999996</v>
      </c>
      <c r="J142">
        <v>422.41499999999996</v>
      </c>
    </row>
    <row r="143" spans="1:10" x14ac:dyDescent="0.35">
      <c r="A143" t="s">
        <v>10</v>
      </c>
      <c r="B143" t="s">
        <v>11</v>
      </c>
      <c r="C143" t="s">
        <v>12</v>
      </c>
      <c r="D143" t="s">
        <v>13</v>
      </c>
      <c r="E143" t="s">
        <v>19</v>
      </c>
      <c r="F143">
        <v>88.79</v>
      </c>
      <c r="G143">
        <v>8</v>
      </c>
      <c r="H143">
        <v>35.515999999999998</v>
      </c>
      <c r="I143">
        <f t="shared" si="2"/>
        <v>710.32</v>
      </c>
      <c r="J143">
        <v>745.83600000000001</v>
      </c>
    </row>
    <row r="144" spans="1:10" x14ac:dyDescent="0.35">
      <c r="A144" t="s">
        <v>10</v>
      </c>
      <c r="B144" t="s">
        <v>11</v>
      </c>
      <c r="C144" t="s">
        <v>12</v>
      </c>
      <c r="D144" t="s">
        <v>13</v>
      </c>
      <c r="E144" t="s">
        <v>18</v>
      </c>
      <c r="F144">
        <v>26.48</v>
      </c>
      <c r="G144">
        <v>3</v>
      </c>
      <c r="H144">
        <v>3.972</v>
      </c>
      <c r="I144">
        <f t="shared" si="2"/>
        <v>79.44</v>
      </c>
      <c r="J144">
        <v>83.411999999999992</v>
      </c>
    </row>
    <row r="145" spans="1:10" x14ac:dyDescent="0.35">
      <c r="A145" t="s">
        <v>10</v>
      </c>
      <c r="B145" t="s">
        <v>11</v>
      </c>
      <c r="C145" t="s">
        <v>12</v>
      </c>
      <c r="D145" t="s">
        <v>17</v>
      </c>
      <c r="E145" t="s">
        <v>23</v>
      </c>
      <c r="F145">
        <v>81.91</v>
      </c>
      <c r="G145">
        <v>2</v>
      </c>
      <c r="H145">
        <v>8.1910000000000007</v>
      </c>
      <c r="I145">
        <f t="shared" si="2"/>
        <v>163.82</v>
      </c>
      <c r="J145">
        <v>172.011</v>
      </c>
    </row>
    <row r="146" spans="1:10" x14ac:dyDescent="0.35">
      <c r="A146" t="s">
        <v>10</v>
      </c>
      <c r="B146" t="s">
        <v>11</v>
      </c>
      <c r="C146" t="s">
        <v>12</v>
      </c>
      <c r="D146" t="s">
        <v>13</v>
      </c>
      <c r="E146" t="s">
        <v>22</v>
      </c>
      <c r="F146">
        <v>14.23</v>
      </c>
      <c r="G146">
        <v>5</v>
      </c>
      <c r="H146">
        <v>3.5575000000000001</v>
      </c>
      <c r="I146">
        <f t="shared" si="2"/>
        <v>71.150000000000006</v>
      </c>
      <c r="J146">
        <v>74.70750000000001</v>
      </c>
    </row>
    <row r="147" spans="1:10" x14ac:dyDescent="0.35">
      <c r="A147" t="s">
        <v>10</v>
      </c>
      <c r="B147" t="s">
        <v>11</v>
      </c>
      <c r="C147" t="s">
        <v>12</v>
      </c>
      <c r="D147" t="s">
        <v>13</v>
      </c>
      <c r="E147" t="s">
        <v>14</v>
      </c>
      <c r="F147">
        <v>15.55</v>
      </c>
      <c r="G147">
        <v>9</v>
      </c>
      <c r="H147">
        <v>6.9974999999999996</v>
      </c>
      <c r="I147">
        <f t="shared" si="2"/>
        <v>139.95000000000002</v>
      </c>
      <c r="J147">
        <v>146.94750000000002</v>
      </c>
    </row>
    <row r="148" spans="1:10" x14ac:dyDescent="0.35">
      <c r="A148" t="s">
        <v>10</v>
      </c>
      <c r="B148" t="s">
        <v>15</v>
      </c>
      <c r="C148" t="s">
        <v>16</v>
      </c>
      <c r="D148" t="s">
        <v>13</v>
      </c>
      <c r="E148" t="s">
        <v>18</v>
      </c>
      <c r="F148">
        <v>78.13</v>
      </c>
      <c r="G148">
        <v>10</v>
      </c>
      <c r="H148">
        <v>39.064999999999998</v>
      </c>
      <c r="I148">
        <f t="shared" si="2"/>
        <v>781.3</v>
      </c>
      <c r="J148">
        <v>820.36500000000001</v>
      </c>
    </row>
    <row r="149" spans="1:10" x14ac:dyDescent="0.35">
      <c r="A149" t="s">
        <v>10</v>
      </c>
      <c r="B149" t="s">
        <v>15</v>
      </c>
      <c r="C149" t="s">
        <v>16</v>
      </c>
      <c r="D149" t="s">
        <v>13</v>
      </c>
      <c r="E149" t="s">
        <v>22</v>
      </c>
      <c r="F149">
        <v>21.08</v>
      </c>
      <c r="G149">
        <v>3</v>
      </c>
      <c r="H149">
        <v>3.1619999999999999</v>
      </c>
      <c r="I149">
        <f t="shared" si="2"/>
        <v>63.239999999999995</v>
      </c>
      <c r="J149">
        <v>66.402000000000001</v>
      </c>
    </row>
    <row r="150" spans="1:10" x14ac:dyDescent="0.35">
      <c r="A150" t="s">
        <v>10</v>
      </c>
      <c r="B150" t="s">
        <v>15</v>
      </c>
      <c r="C150" t="s">
        <v>16</v>
      </c>
      <c r="D150" t="s">
        <v>13</v>
      </c>
      <c r="E150" t="s">
        <v>14</v>
      </c>
      <c r="F150">
        <v>29.67</v>
      </c>
      <c r="G150">
        <v>7</v>
      </c>
      <c r="H150">
        <v>10.384499999999999</v>
      </c>
      <c r="I150">
        <f t="shared" si="2"/>
        <v>207.69</v>
      </c>
      <c r="J150">
        <v>218.0745</v>
      </c>
    </row>
    <row r="151" spans="1:10" x14ac:dyDescent="0.35">
      <c r="A151" t="s">
        <v>10</v>
      </c>
      <c r="B151" t="s">
        <v>15</v>
      </c>
      <c r="C151" t="s">
        <v>16</v>
      </c>
      <c r="D151" t="s">
        <v>17</v>
      </c>
      <c r="E151" t="s">
        <v>22</v>
      </c>
      <c r="F151">
        <v>22.93</v>
      </c>
      <c r="G151">
        <v>9</v>
      </c>
      <c r="H151">
        <v>10.3185</v>
      </c>
      <c r="I151">
        <f t="shared" si="2"/>
        <v>206.37</v>
      </c>
      <c r="J151">
        <v>216.6885</v>
      </c>
    </row>
    <row r="152" spans="1:10" x14ac:dyDescent="0.35">
      <c r="A152" t="s">
        <v>10</v>
      </c>
      <c r="B152" t="s">
        <v>15</v>
      </c>
      <c r="C152" t="s">
        <v>16</v>
      </c>
      <c r="D152" t="s">
        <v>17</v>
      </c>
      <c r="E152" t="s">
        <v>14</v>
      </c>
      <c r="F152">
        <v>39.42</v>
      </c>
      <c r="G152">
        <v>1</v>
      </c>
      <c r="H152">
        <v>1.9710000000000001</v>
      </c>
      <c r="I152">
        <f t="shared" si="2"/>
        <v>39.42</v>
      </c>
      <c r="J152">
        <v>41.391000000000005</v>
      </c>
    </row>
    <row r="153" spans="1:10" x14ac:dyDescent="0.35">
      <c r="A153" t="s">
        <v>10</v>
      </c>
      <c r="B153" t="s">
        <v>11</v>
      </c>
      <c r="C153" t="s">
        <v>12</v>
      </c>
      <c r="D153" t="s">
        <v>17</v>
      </c>
      <c r="E153" t="s">
        <v>23</v>
      </c>
      <c r="F153">
        <v>61.77</v>
      </c>
      <c r="G153">
        <v>5</v>
      </c>
      <c r="H153">
        <v>154.42500000000001</v>
      </c>
      <c r="I153">
        <f t="shared" si="2"/>
        <v>308.85000000000002</v>
      </c>
      <c r="J153">
        <v>463.27500000000003</v>
      </c>
    </row>
    <row r="154" spans="1:10" x14ac:dyDescent="0.35">
      <c r="A154" t="s">
        <v>10</v>
      </c>
      <c r="B154" t="s">
        <v>11</v>
      </c>
      <c r="C154" t="s">
        <v>12</v>
      </c>
      <c r="D154" t="s">
        <v>13</v>
      </c>
      <c r="E154" t="s">
        <v>18</v>
      </c>
      <c r="F154">
        <v>28.45</v>
      </c>
      <c r="G154">
        <v>5</v>
      </c>
      <c r="H154">
        <v>7.1124999999999998</v>
      </c>
      <c r="I154">
        <f t="shared" si="2"/>
        <v>142.25</v>
      </c>
      <c r="J154">
        <v>149.36250000000001</v>
      </c>
    </row>
    <row r="155" spans="1:10" x14ac:dyDescent="0.35">
      <c r="A155" t="s">
        <v>10</v>
      </c>
      <c r="B155" t="s">
        <v>20</v>
      </c>
      <c r="C155" t="s">
        <v>21</v>
      </c>
      <c r="D155" t="s">
        <v>17</v>
      </c>
      <c r="E155" t="s">
        <v>24</v>
      </c>
      <c r="F155">
        <v>57.95</v>
      </c>
      <c r="G155">
        <v>6</v>
      </c>
      <c r="H155">
        <v>17.385000000000002</v>
      </c>
      <c r="I155">
        <f t="shared" si="2"/>
        <v>347.70000000000005</v>
      </c>
      <c r="J155">
        <v>365.08500000000004</v>
      </c>
    </row>
    <row r="156" spans="1:10" x14ac:dyDescent="0.35">
      <c r="A156" t="s">
        <v>10</v>
      </c>
      <c r="B156" t="s">
        <v>15</v>
      </c>
      <c r="C156" t="s">
        <v>16</v>
      </c>
      <c r="D156" t="s">
        <v>17</v>
      </c>
      <c r="E156" t="s">
        <v>18</v>
      </c>
      <c r="F156">
        <v>47.65</v>
      </c>
      <c r="G156">
        <v>3</v>
      </c>
      <c r="H156">
        <v>7.1475</v>
      </c>
      <c r="I156">
        <f t="shared" si="2"/>
        <v>142.94999999999999</v>
      </c>
      <c r="J156">
        <v>150.0975</v>
      </c>
    </row>
    <row r="157" spans="1:10" x14ac:dyDescent="0.35">
      <c r="A157" t="s">
        <v>10</v>
      </c>
      <c r="B157" t="s">
        <v>20</v>
      </c>
      <c r="C157" t="s">
        <v>21</v>
      </c>
      <c r="D157" t="s">
        <v>13</v>
      </c>
      <c r="E157" t="s">
        <v>22</v>
      </c>
      <c r="F157">
        <v>42.82</v>
      </c>
      <c r="G157">
        <v>9</v>
      </c>
      <c r="H157">
        <v>19.268999999999998</v>
      </c>
      <c r="I157">
        <f t="shared" si="2"/>
        <v>385.38</v>
      </c>
      <c r="J157">
        <v>404.649</v>
      </c>
    </row>
    <row r="158" spans="1:10" x14ac:dyDescent="0.35">
      <c r="A158" t="s">
        <v>10</v>
      </c>
      <c r="B158" t="s">
        <v>20</v>
      </c>
      <c r="C158" t="s">
        <v>21</v>
      </c>
      <c r="D158" t="s">
        <v>13</v>
      </c>
      <c r="E158" t="s">
        <v>14</v>
      </c>
      <c r="F158">
        <v>55.97</v>
      </c>
      <c r="G158">
        <v>7</v>
      </c>
      <c r="H158">
        <v>195.89500000000001</v>
      </c>
      <c r="I158">
        <f t="shared" si="2"/>
        <v>391.78999999999996</v>
      </c>
      <c r="J158">
        <v>587.68499999999995</v>
      </c>
    </row>
    <row r="159" spans="1:10" x14ac:dyDescent="0.35">
      <c r="A159" t="s">
        <v>10</v>
      </c>
      <c r="B159" t="s">
        <v>20</v>
      </c>
      <c r="C159" t="s">
        <v>21</v>
      </c>
      <c r="D159" t="s">
        <v>13</v>
      </c>
      <c r="E159" t="s">
        <v>14</v>
      </c>
      <c r="F159">
        <v>76.900000000000006</v>
      </c>
      <c r="G159">
        <v>7</v>
      </c>
      <c r="H159">
        <v>26.914999999999999</v>
      </c>
      <c r="I159">
        <f t="shared" si="2"/>
        <v>538.30000000000007</v>
      </c>
      <c r="J159">
        <v>565.21500000000003</v>
      </c>
    </row>
    <row r="160" spans="1:10" x14ac:dyDescent="0.35">
      <c r="A160" t="s">
        <v>10</v>
      </c>
      <c r="B160" t="s">
        <v>15</v>
      </c>
      <c r="C160" t="s">
        <v>16</v>
      </c>
      <c r="D160" t="s">
        <v>17</v>
      </c>
      <c r="E160" t="s">
        <v>22</v>
      </c>
      <c r="F160">
        <v>97.03</v>
      </c>
      <c r="G160">
        <v>5</v>
      </c>
      <c r="H160">
        <v>242.57499999999999</v>
      </c>
      <c r="I160">
        <f t="shared" si="2"/>
        <v>485.15</v>
      </c>
      <c r="J160">
        <v>727.72499999999991</v>
      </c>
    </row>
    <row r="161" spans="1:10" x14ac:dyDescent="0.35">
      <c r="A161" t="s">
        <v>10</v>
      </c>
      <c r="B161" t="s">
        <v>11</v>
      </c>
      <c r="C161" t="s">
        <v>12</v>
      </c>
      <c r="D161" t="s">
        <v>17</v>
      </c>
      <c r="E161" t="s">
        <v>23</v>
      </c>
      <c r="F161">
        <v>77.930000000000007</v>
      </c>
      <c r="G161">
        <v>9</v>
      </c>
      <c r="H161">
        <v>350.685</v>
      </c>
      <c r="I161">
        <f t="shared" si="2"/>
        <v>701.37000000000012</v>
      </c>
      <c r="J161">
        <v>1052.0550000000001</v>
      </c>
    </row>
    <row r="162" spans="1:10" x14ac:dyDescent="0.35">
      <c r="A162" t="s">
        <v>10</v>
      </c>
      <c r="B162" t="s">
        <v>15</v>
      </c>
      <c r="C162" t="s">
        <v>16</v>
      </c>
      <c r="D162" t="s">
        <v>13</v>
      </c>
      <c r="E162" t="s">
        <v>19</v>
      </c>
      <c r="F162">
        <v>89.25</v>
      </c>
      <c r="G162">
        <v>8</v>
      </c>
      <c r="H162">
        <v>35.700000000000003</v>
      </c>
      <c r="I162">
        <f t="shared" si="2"/>
        <v>714</v>
      </c>
      <c r="J162">
        <v>749.7</v>
      </c>
    </row>
    <row r="163" spans="1:10" x14ac:dyDescent="0.35">
      <c r="A163" t="s">
        <v>10</v>
      </c>
      <c r="B163" t="s">
        <v>20</v>
      </c>
      <c r="C163" t="s">
        <v>21</v>
      </c>
      <c r="D163" t="s">
        <v>17</v>
      </c>
      <c r="E163" t="s">
        <v>14</v>
      </c>
      <c r="F163">
        <v>13.5</v>
      </c>
      <c r="G163">
        <v>10</v>
      </c>
      <c r="H163">
        <v>6.75</v>
      </c>
      <c r="I163">
        <f t="shared" si="2"/>
        <v>135</v>
      </c>
      <c r="J163">
        <v>141.75</v>
      </c>
    </row>
    <row r="164" spans="1:10" x14ac:dyDescent="0.35">
      <c r="A164" t="s">
        <v>10</v>
      </c>
      <c r="B164" t="s">
        <v>15</v>
      </c>
      <c r="C164" t="s">
        <v>16</v>
      </c>
      <c r="D164" t="s">
        <v>13</v>
      </c>
      <c r="E164" t="s">
        <v>23</v>
      </c>
      <c r="F164">
        <v>99.3</v>
      </c>
      <c r="G164">
        <v>10</v>
      </c>
      <c r="H164">
        <v>49.65</v>
      </c>
      <c r="I164">
        <f t="shared" si="2"/>
        <v>993</v>
      </c>
      <c r="J164">
        <v>1042.6500000000001</v>
      </c>
    </row>
    <row r="165" spans="1:10" x14ac:dyDescent="0.35">
      <c r="A165" t="s">
        <v>10</v>
      </c>
      <c r="B165" t="s">
        <v>20</v>
      </c>
      <c r="C165" t="s">
        <v>21</v>
      </c>
      <c r="D165" t="s">
        <v>13</v>
      </c>
      <c r="E165" t="s">
        <v>23</v>
      </c>
      <c r="F165">
        <v>54.73</v>
      </c>
      <c r="G165">
        <v>7</v>
      </c>
      <c r="H165">
        <v>191.55500000000001</v>
      </c>
      <c r="I165">
        <f t="shared" si="2"/>
        <v>383.10999999999996</v>
      </c>
      <c r="J165">
        <v>574.66499999999996</v>
      </c>
    </row>
    <row r="166" spans="1:10" x14ac:dyDescent="0.35">
      <c r="A166" t="s">
        <v>10</v>
      </c>
      <c r="B166" t="s">
        <v>15</v>
      </c>
      <c r="C166" t="s">
        <v>16</v>
      </c>
      <c r="D166" t="s">
        <v>17</v>
      </c>
      <c r="E166" t="s">
        <v>18</v>
      </c>
      <c r="F166">
        <v>30.24</v>
      </c>
      <c r="G166">
        <v>1</v>
      </c>
      <c r="H166">
        <v>1.512</v>
      </c>
      <c r="I166">
        <f t="shared" si="2"/>
        <v>30.24</v>
      </c>
      <c r="J166">
        <v>31.751999999999999</v>
      </c>
    </row>
    <row r="167" spans="1:10" x14ac:dyDescent="0.35">
      <c r="A167" t="s">
        <v>10</v>
      </c>
      <c r="B167" t="s">
        <v>20</v>
      </c>
      <c r="C167" t="s">
        <v>21</v>
      </c>
      <c r="D167" t="s">
        <v>13</v>
      </c>
      <c r="E167" t="s">
        <v>22</v>
      </c>
      <c r="F167">
        <v>89.14</v>
      </c>
      <c r="G167">
        <v>4</v>
      </c>
      <c r="H167">
        <v>17.827999999999999</v>
      </c>
      <c r="I167">
        <f t="shared" si="2"/>
        <v>356.56</v>
      </c>
      <c r="J167">
        <v>374.38799999999998</v>
      </c>
    </row>
    <row r="168" spans="1:10" x14ac:dyDescent="0.35">
      <c r="A168" t="s">
        <v>10</v>
      </c>
      <c r="B168" t="s">
        <v>15</v>
      </c>
      <c r="C168" t="s">
        <v>16</v>
      </c>
      <c r="D168" t="s">
        <v>17</v>
      </c>
      <c r="E168" t="s">
        <v>23</v>
      </c>
      <c r="F168">
        <v>37.549999999999997</v>
      </c>
      <c r="G168">
        <v>10</v>
      </c>
      <c r="H168">
        <v>18.774999999999999</v>
      </c>
      <c r="I168">
        <f t="shared" si="2"/>
        <v>375.5</v>
      </c>
      <c r="J168">
        <v>394.27499999999998</v>
      </c>
    </row>
    <row r="169" spans="1:10" x14ac:dyDescent="0.35">
      <c r="A169" t="s">
        <v>10</v>
      </c>
      <c r="B169" t="s">
        <v>15</v>
      </c>
      <c r="C169" t="s">
        <v>16</v>
      </c>
      <c r="D169" t="s">
        <v>17</v>
      </c>
      <c r="E169" t="s">
        <v>24</v>
      </c>
      <c r="F169">
        <v>95.44</v>
      </c>
      <c r="G169">
        <v>10</v>
      </c>
      <c r="H169">
        <v>47.72</v>
      </c>
      <c r="I169">
        <f t="shared" si="2"/>
        <v>954.4</v>
      </c>
      <c r="J169">
        <v>1002.12</v>
      </c>
    </row>
    <row r="170" spans="1:10" x14ac:dyDescent="0.35">
      <c r="A170" t="s">
        <v>10</v>
      </c>
      <c r="B170" t="s">
        <v>15</v>
      </c>
      <c r="C170" t="s">
        <v>16</v>
      </c>
      <c r="D170" t="s">
        <v>17</v>
      </c>
      <c r="E170" t="s">
        <v>22</v>
      </c>
      <c r="F170">
        <v>94.47</v>
      </c>
      <c r="G170">
        <v>8</v>
      </c>
      <c r="H170">
        <v>37.787999999999997</v>
      </c>
      <c r="I170">
        <f t="shared" si="2"/>
        <v>755.76</v>
      </c>
      <c r="J170">
        <v>793.548</v>
      </c>
    </row>
    <row r="171" spans="1:10" x14ac:dyDescent="0.35">
      <c r="A171" t="s">
        <v>10</v>
      </c>
      <c r="B171" t="s">
        <v>15</v>
      </c>
      <c r="C171" t="s">
        <v>16</v>
      </c>
      <c r="D171" t="s">
        <v>17</v>
      </c>
      <c r="E171" t="s">
        <v>22</v>
      </c>
      <c r="F171">
        <v>41.24</v>
      </c>
      <c r="G171">
        <v>4</v>
      </c>
      <c r="H171">
        <v>8.2479999999999993</v>
      </c>
      <c r="I171">
        <f t="shared" si="2"/>
        <v>164.96</v>
      </c>
      <c r="J171">
        <v>173.208</v>
      </c>
    </row>
    <row r="172" spans="1:10" x14ac:dyDescent="0.35">
      <c r="A172" t="s">
        <v>10</v>
      </c>
      <c r="B172" t="s">
        <v>15</v>
      </c>
      <c r="C172" t="s">
        <v>16</v>
      </c>
      <c r="D172" t="s">
        <v>17</v>
      </c>
      <c r="E172" t="s">
        <v>23</v>
      </c>
      <c r="F172">
        <v>81.680000000000007</v>
      </c>
      <c r="G172">
        <v>4</v>
      </c>
      <c r="H172">
        <v>16.335999999999999</v>
      </c>
      <c r="I172">
        <f t="shared" si="2"/>
        <v>326.72000000000003</v>
      </c>
      <c r="J172">
        <v>343.05600000000004</v>
      </c>
    </row>
    <row r="173" spans="1:10" x14ac:dyDescent="0.35">
      <c r="A173" t="s">
        <v>10</v>
      </c>
      <c r="B173" t="s">
        <v>15</v>
      </c>
      <c r="C173" t="s">
        <v>16</v>
      </c>
      <c r="D173" t="s">
        <v>17</v>
      </c>
      <c r="E173" t="s">
        <v>18</v>
      </c>
      <c r="F173">
        <v>51.32</v>
      </c>
      <c r="G173">
        <v>9</v>
      </c>
      <c r="H173">
        <v>23.094000000000001</v>
      </c>
      <c r="I173">
        <f t="shared" si="2"/>
        <v>461.88</v>
      </c>
      <c r="J173">
        <v>484.97399999999999</v>
      </c>
    </row>
    <row r="174" spans="1:10" x14ac:dyDescent="0.35">
      <c r="A174" t="s">
        <v>10</v>
      </c>
      <c r="B174" t="s">
        <v>15</v>
      </c>
      <c r="C174" t="s">
        <v>16</v>
      </c>
      <c r="D174" t="s">
        <v>17</v>
      </c>
      <c r="E174" t="s">
        <v>24</v>
      </c>
      <c r="F174">
        <v>14.36</v>
      </c>
      <c r="G174">
        <v>10</v>
      </c>
      <c r="H174">
        <v>7.18</v>
      </c>
      <c r="I174">
        <f t="shared" si="2"/>
        <v>143.6</v>
      </c>
      <c r="J174">
        <v>150.78</v>
      </c>
    </row>
    <row r="175" spans="1:10" x14ac:dyDescent="0.35">
      <c r="A175" t="s">
        <v>10</v>
      </c>
      <c r="B175" t="s">
        <v>20</v>
      </c>
      <c r="C175" t="s">
        <v>21</v>
      </c>
      <c r="D175" t="s">
        <v>13</v>
      </c>
      <c r="E175" t="s">
        <v>18</v>
      </c>
      <c r="F175">
        <v>26.26</v>
      </c>
      <c r="G175">
        <v>7</v>
      </c>
      <c r="H175">
        <v>9.1910000000000007</v>
      </c>
      <c r="I175">
        <f t="shared" si="2"/>
        <v>183.82000000000002</v>
      </c>
      <c r="J175">
        <v>193.01100000000002</v>
      </c>
    </row>
    <row r="176" spans="1:10" x14ac:dyDescent="0.35">
      <c r="A176" t="s">
        <v>10</v>
      </c>
      <c r="B176" t="s">
        <v>20</v>
      </c>
      <c r="C176" t="s">
        <v>21</v>
      </c>
      <c r="D176" t="s">
        <v>17</v>
      </c>
      <c r="E176" t="s">
        <v>23</v>
      </c>
      <c r="F176">
        <v>60.96</v>
      </c>
      <c r="G176">
        <v>2</v>
      </c>
      <c r="H176">
        <v>6.0960000000000001</v>
      </c>
      <c r="I176">
        <f t="shared" si="2"/>
        <v>121.92</v>
      </c>
      <c r="J176">
        <v>128.01599999999999</v>
      </c>
    </row>
    <row r="177" spans="1:10" x14ac:dyDescent="0.35">
      <c r="A177" t="s">
        <v>10</v>
      </c>
      <c r="B177" t="s">
        <v>15</v>
      </c>
      <c r="C177" t="s">
        <v>16</v>
      </c>
      <c r="D177" t="s">
        <v>17</v>
      </c>
      <c r="E177" t="s">
        <v>19</v>
      </c>
      <c r="F177">
        <v>70.11</v>
      </c>
      <c r="G177">
        <v>6</v>
      </c>
      <c r="H177">
        <v>21.033000000000001</v>
      </c>
      <c r="I177">
        <f t="shared" si="2"/>
        <v>420.65999999999997</v>
      </c>
      <c r="J177">
        <v>441.69299999999998</v>
      </c>
    </row>
    <row r="178" spans="1:10" x14ac:dyDescent="0.35">
      <c r="A178" t="s">
        <v>10</v>
      </c>
      <c r="B178" t="s">
        <v>11</v>
      </c>
      <c r="C178" t="s">
        <v>12</v>
      </c>
      <c r="D178" t="s">
        <v>17</v>
      </c>
      <c r="E178" t="s">
        <v>19</v>
      </c>
      <c r="F178">
        <v>67.09</v>
      </c>
      <c r="G178">
        <v>5</v>
      </c>
      <c r="H178">
        <v>167.72499999999999</v>
      </c>
      <c r="I178">
        <f t="shared" si="2"/>
        <v>335.45000000000005</v>
      </c>
      <c r="J178">
        <v>503.17500000000007</v>
      </c>
    </row>
    <row r="179" spans="1:10" x14ac:dyDescent="0.35">
      <c r="A179" t="s">
        <v>10</v>
      </c>
      <c r="B179" t="s">
        <v>11</v>
      </c>
      <c r="C179" t="s">
        <v>12</v>
      </c>
      <c r="D179" t="s">
        <v>13</v>
      </c>
      <c r="E179" t="s">
        <v>23</v>
      </c>
      <c r="F179">
        <v>96.7</v>
      </c>
      <c r="G179">
        <v>5</v>
      </c>
      <c r="H179">
        <v>24.175000000000001</v>
      </c>
      <c r="I179">
        <f t="shared" si="2"/>
        <v>483.5</v>
      </c>
      <c r="J179">
        <v>507.67500000000001</v>
      </c>
    </row>
    <row r="180" spans="1:10" x14ac:dyDescent="0.35">
      <c r="A180" t="s">
        <v>10</v>
      </c>
      <c r="B180" t="s">
        <v>20</v>
      </c>
      <c r="C180" t="s">
        <v>21</v>
      </c>
      <c r="D180" t="s">
        <v>13</v>
      </c>
      <c r="E180" t="s">
        <v>19</v>
      </c>
      <c r="F180">
        <v>35.380000000000003</v>
      </c>
      <c r="G180">
        <v>9</v>
      </c>
      <c r="H180">
        <v>15.920999999999999</v>
      </c>
      <c r="I180">
        <f t="shared" si="2"/>
        <v>318.42</v>
      </c>
      <c r="J180">
        <v>334.34100000000001</v>
      </c>
    </row>
    <row r="181" spans="1:10" x14ac:dyDescent="0.35">
      <c r="A181" t="s">
        <v>10</v>
      </c>
      <c r="B181" t="s">
        <v>20</v>
      </c>
      <c r="C181" t="s">
        <v>21</v>
      </c>
      <c r="D181" t="s">
        <v>17</v>
      </c>
      <c r="E181" t="s">
        <v>18</v>
      </c>
      <c r="F181">
        <v>23.65</v>
      </c>
      <c r="G181">
        <v>4</v>
      </c>
      <c r="H181">
        <v>4.7300000000000004</v>
      </c>
      <c r="I181">
        <f t="shared" si="2"/>
        <v>94.6</v>
      </c>
      <c r="J181">
        <v>99.33</v>
      </c>
    </row>
    <row r="182" spans="1:10" x14ac:dyDescent="0.35">
      <c r="A182" t="s">
        <v>10</v>
      </c>
      <c r="B182" t="s">
        <v>15</v>
      </c>
      <c r="C182" t="s">
        <v>16</v>
      </c>
      <c r="D182" t="s">
        <v>17</v>
      </c>
      <c r="E182" t="s">
        <v>18</v>
      </c>
      <c r="F182">
        <v>26.61</v>
      </c>
      <c r="G182">
        <v>2</v>
      </c>
      <c r="H182">
        <v>2.661</v>
      </c>
      <c r="I182">
        <f t="shared" si="2"/>
        <v>53.22</v>
      </c>
      <c r="J182">
        <v>55.881</v>
      </c>
    </row>
    <row r="183" spans="1:10" x14ac:dyDescent="0.35">
      <c r="A183" t="s">
        <v>10</v>
      </c>
      <c r="B183" t="s">
        <v>20</v>
      </c>
      <c r="C183" t="s">
        <v>21</v>
      </c>
      <c r="D183" t="s">
        <v>17</v>
      </c>
      <c r="E183" t="s">
        <v>22</v>
      </c>
      <c r="F183">
        <v>99.69</v>
      </c>
      <c r="G183">
        <v>5</v>
      </c>
      <c r="H183">
        <v>249.22499999999999</v>
      </c>
      <c r="I183">
        <f t="shared" si="2"/>
        <v>498.45</v>
      </c>
      <c r="J183">
        <v>747.67499999999995</v>
      </c>
    </row>
    <row r="184" spans="1:10" x14ac:dyDescent="0.35">
      <c r="A184" t="s">
        <v>10</v>
      </c>
      <c r="B184" t="s">
        <v>15</v>
      </c>
      <c r="C184" t="s">
        <v>16</v>
      </c>
      <c r="D184" t="s">
        <v>13</v>
      </c>
      <c r="E184" t="s">
        <v>22</v>
      </c>
      <c r="F184">
        <v>74.89</v>
      </c>
      <c r="G184">
        <v>4</v>
      </c>
      <c r="H184">
        <v>14.978</v>
      </c>
      <c r="I184">
        <f t="shared" si="2"/>
        <v>299.56</v>
      </c>
      <c r="J184">
        <v>314.53800000000001</v>
      </c>
    </row>
    <row r="185" spans="1:10" x14ac:dyDescent="0.35">
      <c r="A185" t="s">
        <v>10</v>
      </c>
      <c r="B185" t="s">
        <v>11</v>
      </c>
      <c r="C185" t="s">
        <v>12</v>
      </c>
      <c r="D185" t="s">
        <v>17</v>
      </c>
      <c r="E185" t="s">
        <v>22</v>
      </c>
      <c r="F185">
        <v>40.94</v>
      </c>
      <c r="G185">
        <v>5</v>
      </c>
      <c r="H185">
        <v>10.234999999999999</v>
      </c>
      <c r="I185">
        <f t="shared" si="2"/>
        <v>204.7</v>
      </c>
      <c r="J185">
        <v>214.935</v>
      </c>
    </row>
    <row r="186" spans="1:10" x14ac:dyDescent="0.35">
      <c r="A186" t="s">
        <v>10</v>
      </c>
      <c r="B186" t="s">
        <v>11</v>
      </c>
      <c r="C186" t="s">
        <v>12</v>
      </c>
      <c r="D186" t="s">
        <v>17</v>
      </c>
      <c r="E186" t="s">
        <v>14</v>
      </c>
      <c r="F186">
        <v>32.32</v>
      </c>
      <c r="G186">
        <v>10</v>
      </c>
      <c r="H186">
        <v>16.16</v>
      </c>
      <c r="I186">
        <f t="shared" si="2"/>
        <v>323.2</v>
      </c>
      <c r="J186">
        <v>339.36</v>
      </c>
    </row>
    <row r="187" spans="1:10" x14ac:dyDescent="0.35">
      <c r="A187" t="s">
        <v>10</v>
      </c>
      <c r="B187" t="s">
        <v>15</v>
      </c>
      <c r="C187" t="s">
        <v>16</v>
      </c>
      <c r="D187" t="s">
        <v>13</v>
      </c>
      <c r="E187" t="s">
        <v>23</v>
      </c>
      <c r="F187">
        <v>54.07</v>
      </c>
      <c r="G187">
        <v>9</v>
      </c>
      <c r="H187">
        <v>243.315</v>
      </c>
      <c r="I187">
        <f t="shared" si="2"/>
        <v>486.63</v>
      </c>
      <c r="J187">
        <v>729.94499999999994</v>
      </c>
    </row>
    <row r="188" spans="1:10" x14ac:dyDescent="0.35">
      <c r="A188" t="s">
        <v>10</v>
      </c>
      <c r="B188" t="s">
        <v>15</v>
      </c>
      <c r="C188" t="s">
        <v>16</v>
      </c>
      <c r="D188" t="s">
        <v>13</v>
      </c>
      <c r="E188" t="s">
        <v>23</v>
      </c>
      <c r="F188">
        <v>80.48</v>
      </c>
      <c r="G188">
        <v>3</v>
      </c>
      <c r="H188">
        <v>12.071999999999999</v>
      </c>
      <c r="I188">
        <f t="shared" si="2"/>
        <v>241.44</v>
      </c>
      <c r="J188">
        <v>253.512</v>
      </c>
    </row>
    <row r="189" spans="1:10" x14ac:dyDescent="0.35">
      <c r="A189" t="s">
        <v>10</v>
      </c>
      <c r="B189" t="s">
        <v>20</v>
      </c>
      <c r="C189" t="s">
        <v>21</v>
      </c>
      <c r="D189" t="s">
        <v>17</v>
      </c>
      <c r="E189" t="s">
        <v>23</v>
      </c>
      <c r="F189">
        <v>37.950000000000003</v>
      </c>
      <c r="G189">
        <v>10</v>
      </c>
      <c r="H189">
        <v>18.975000000000001</v>
      </c>
      <c r="I189">
        <f t="shared" si="2"/>
        <v>379.5</v>
      </c>
      <c r="J189">
        <v>398.47500000000002</v>
      </c>
    </row>
    <row r="190" spans="1:10" x14ac:dyDescent="0.35">
      <c r="A190" t="s">
        <v>10</v>
      </c>
      <c r="B190" t="s">
        <v>11</v>
      </c>
      <c r="C190" t="s">
        <v>12</v>
      </c>
      <c r="D190" t="s">
        <v>13</v>
      </c>
      <c r="E190" t="s">
        <v>24</v>
      </c>
      <c r="F190">
        <v>52.26</v>
      </c>
      <c r="G190">
        <v>10</v>
      </c>
      <c r="H190">
        <v>26.13</v>
      </c>
      <c r="I190">
        <f t="shared" si="2"/>
        <v>522.6</v>
      </c>
      <c r="J190">
        <v>548.73</v>
      </c>
    </row>
    <row r="191" spans="1:10" x14ac:dyDescent="0.35">
      <c r="A191" t="s">
        <v>10</v>
      </c>
      <c r="B191" t="s">
        <v>11</v>
      </c>
      <c r="C191" t="s">
        <v>12</v>
      </c>
      <c r="D191" t="s">
        <v>17</v>
      </c>
      <c r="E191" t="s">
        <v>14</v>
      </c>
      <c r="F191">
        <v>79.739999999999995</v>
      </c>
      <c r="G191">
        <v>1</v>
      </c>
      <c r="H191">
        <v>3.9870000000000001</v>
      </c>
      <c r="I191">
        <f t="shared" si="2"/>
        <v>79.739999999999995</v>
      </c>
      <c r="J191">
        <v>83.72699999999999</v>
      </c>
    </row>
    <row r="192" spans="1:10" x14ac:dyDescent="0.35">
      <c r="A192" t="s">
        <v>10</v>
      </c>
      <c r="B192" t="s">
        <v>11</v>
      </c>
      <c r="C192" t="s">
        <v>12</v>
      </c>
      <c r="D192" t="s">
        <v>17</v>
      </c>
      <c r="E192" t="s">
        <v>14</v>
      </c>
      <c r="F192">
        <v>77.5</v>
      </c>
      <c r="G192">
        <v>5</v>
      </c>
      <c r="H192">
        <v>19.375</v>
      </c>
      <c r="I192">
        <f t="shared" si="2"/>
        <v>387.5</v>
      </c>
      <c r="J192">
        <v>406.875</v>
      </c>
    </row>
    <row r="193" spans="1:10" x14ac:dyDescent="0.35">
      <c r="A193" t="s">
        <v>10</v>
      </c>
      <c r="B193" t="s">
        <v>11</v>
      </c>
      <c r="C193" t="s">
        <v>12</v>
      </c>
      <c r="D193" t="s">
        <v>17</v>
      </c>
      <c r="E193" t="s">
        <v>22</v>
      </c>
      <c r="F193">
        <v>54.27</v>
      </c>
      <c r="G193">
        <v>5</v>
      </c>
      <c r="H193">
        <v>135.67500000000001</v>
      </c>
      <c r="I193">
        <f t="shared" si="2"/>
        <v>271.35000000000002</v>
      </c>
      <c r="J193">
        <v>407.02500000000003</v>
      </c>
    </row>
    <row r="194" spans="1:10" x14ac:dyDescent="0.35">
      <c r="A194" t="s">
        <v>10</v>
      </c>
      <c r="B194" t="s">
        <v>20</v>
      </c>
      <c r="C194" t="s">
        <v>21</v>
      </c>
      <c r="D194" t="s">
        <v>13</v>
      </c>
      <c r="E194" t="s">
        <v>14</v>
      </c>
      <c r="F194">
        <v>41.06</v>
      </c>
      <c r="G194">
        <v>6</v>
      </c>
      <c r="H194">
        <v>12.318</v>
      </c>
      <c r="I194">
        <f t="shared" si="2"/>
        <v>246.36</v>
      </c>
      <c r="J194">
        <v>258.678</v>
      </c>
    </row>
    <row r="195" spans="1:10" x14ac:dyDescent="0.35">
      <c r="A195" t="s">
        <v>10</v>
      </c>
      <c r="B195" t="s">
        <v>15</v>
      </c>
      <c r="C195" t="s">
        <v>16</v>
      </c>
      <c r="D195" t="s">
        <v>17</v>
      </c>
      <c r="E195" t="s">
        <v>22</v>
      </c>
      <c r="F195">
        <v>39.43</v>
      </c>
      <c r="G195">
        <v>6</v>
      </c>
      <c r="H195">
        <v>11.829000000000001</v>
      </c>
      <c r="I195">
        <f t="shared" ref="I195:I258" si="3">F195*G195</f>
        <v>236.57999999999998</v>
      </c>
      <c r="J195">
        <v>248.40899999999999</v>
      </c>
    </row>
    <row r="196" spans="1:10" x14ac:dyDescent="0.35">
      <c r="A196" t="s">
        <v>10</v>
      </c>
      <c r="B196" t="s">
        <v>20</v>
      </c>
      <c r="C196" t="s">
        <v>21</v>
      </c>
      <c r="D196" t="s">
        <v>17</v>
      </c>
      <c r="E196" t="s">
        <v>23</v>
      </c>
      <c r="F196">
        <v>39.75</v>
      </c>
      <c r="G196">
        <v>5</v>
      </c>
      <c r="H196">
        <v>9.9375</v>
      </c>
      <c r="I196">
        <f t="shared" si="3"/>
        <v>198.75</v>
      </c>
      <c r="J196">
        <v>208.6875</v>
      </c>
    </row>
    <row r="197" spans="1:10" x14ac:dyDescent="0.35">
      <c r="A197" t="s">
        <v>10</v>
      </c>
      <c r="B197" t="s">
        <v>15</v>
      </c>
      <c r="C197" t="s">
        <v>16</v>
      </c>
      <c r="D197" t="s">
        <v>13</v>
      </c>
      <c r="E197" t="s">
        <v>23</v>
      </c>
      <c r="F197">
        <v>97.79</v>
      </c>
      <c r="G197">
        <v>7</v>
      </c>
      <c r="H197">
        <v>342.26499999999999</v>
      </c>
      <c r="I197">
        <f t="shared" si="3"/>
        <v>684.53000000000009</v>
      </c>
      <c r="J197">
        <v>1026.7950000000001</v>
      </c>
    </row>
    <row r="198" spans="1:10" x14ac:dyDescent="0.35">
      <c r="A198" t="s">
        <v>10</v>
      </c>
      <c r="B198" t="s">
        <v>20</v>
      </c>
      <c r="C198" t="s">
        <v>21</v>
      </c>
      <c r="D198" t="s">
        <v>13</v>
      </c>
      <c r="E198" t="s">
        <v>23</v>
      </c>
      <c r="F198">
        <v>68.709999999999994</v>
      </c>
      <c r="G198">
        <v>4</v>
      </c>
      <c r="H198">
        <v>13.742000000000001</v>
      </c>
      <c r="I198">
        <f t="shared" si="3"/>
        <v>274.83999999999997</v>
      </c>
      <c r="J198">
        <v>288.58199999999999</v>
      </c>
    </row>
    <row r="199" spans="1:10" x14ac:dyDescent="0.35">
      <c r="A199" t="s">
        <v>10</v>
      </c>
      <c r="B199" t="s">
        <v>11</v>
      </c>
      <c r="C199" t="s">
        <v>12</v>
      </c>
      <c r="D199" t="s">
        <v>17</v>
      </c>
      <c r="E199" t="s">
        <v>19</v>
      </c>
      <c r="F199">
        <v>56.53</v>
      </c>
      <c r="G199">
        <v>4</v>
      </c>
      <c r="H199">
        <v>11.305999999999999</v>
      </c>
      <c r="I199">
        <f t="shared" si="3"/>
        <v>226.12</v>
      </c>
      <c r="J199">
        <v>237.42600000000002</v>
      </c>
    </row>
    <row r="200" spans="1:10" x14ac:dyDescent="0.35">
      <c r="A200" t="s">
        <v>10</v>
      </c>
      <c r="B200" t="s">
        <v>15</v>
      </c>
      <c r="C200" t="s">
        <v>16</v>
      </c>
      <c r="D200" t="s">
        <v>17</v>
      </c>
      <c r="E200" t="s">
        <v>23</v>
      </c>
      <c r="F200">
        <v>23.82</v>
      </c>
      <c r="G200">
        <v>5</v>
      </c>
      <c r="H200">
        <v>5.9550000000000001</v>
      </c>
      <c r="I200">
        <f t="shared" si="3"/>
        <v>119.1</v>
      </c>
      <c r="J200">
        <v>125.05499999999999</v>
      </c>
    </row>
    <row r="201" spans="1:10" x14ac:dyDescent="0.35">
      <c r="A201" t="s">
        <v>10</v>
      </c>
      <c r="B201" t="s">
        <v>20</v>
      </c>
      <c r="C201" t="s">
        <v>21</v>
      </c>
      <c r="D201" t="s">
        <v>17</v>
      </c>
      <c r="E201" t="s">
        <v>14</v>
      </c>
      <c r="F201">
        <v>34.21</v>
      </c>
      <c r="G201">
        <v>10</v>
      </c>
      <c r="H201">
        <v>17.105</v>
      </c>
      <c r="I201">
        <f t="shared" si="3"/>
        <v>342.1</v>
      </c>
      <c r="J201">
        <v>359.20500000000004</v>
      </c>
    </row>
    <row r="202" spans="1:10" x14ac:dyDescent="0.35">
      <c r="A202" t="s">
        <v>10</v>
      </c>
      <c r="B202" t="s">
        <v>15</v>
      </c>
      <c r="C202" t="s">
        <v>16</v>
      </c>
      <c r="D202" t="s">
        <v>17</v>
      </c>
      <c r="E202" t="s">
        <v>19</v>
      </c>
      <c r="F202">
        <v>45.38</v>
      </c>
      <c r="G202">
        <v>4</v>
      </c>
      <c r="H202">
        <v>9.0760000000000005</v>
      </c>
      <c r="I202">
        <f t="shared" si="3"/>
        <v>181.52</v>
      </c>
      <c r="J202">
        <v>190.596</v>
      </c>
    </row>
    <row r="203" spans="1:10" x14ac:dyDescent="0.35">
      <c r="A203" t="s">
        <v>10</v>
      </c>
      <c r="B203" t="s">
        <v>15</v>
      </c>
      <c r="C203" t="s">
        <v>16</v>
      </c>
      <c r="D203" t="s">
        <v>13</v>
      </c>
      <c r="E203" t="s">
        <v>14</v>
      </c>
      <c r="F203">
        <v>81.510000000000005</v>
      </c>
      <c r="G203">
        <v>1</v>
      </c>
      <c r="H203">
        <v>4.0754999999999999</v>
      </c>
      <c r="I203">
        <f t="shared" si="3"/>
        <v>81.510000000000005</v>
      </c>
      <c r="J203">
        <v>85.58550000000001</v>
      </c>
    </row>
    <row r="204" spans="1:10" x14ac:dyDescent="0.35">
      <c r="A204" t="s">
        <v>10</v>
      </c>
      <c r="B204" t="s">
        <v>20</v>
      </c>
      <c r="C204" t="s">
        <v>21</v>
      </c>
      <c r="D204" t="s">
        <v>17</v>
      </c>
      <c r="E204" t="s">
        <v>14</v>
      </c>
      <c r="F204">
        <v>57.22</v>
      </c>
      <c r="G204">
        <v>2</v>
      </c>
      <c r="H204">
        <v>5.7220000000000004</v>
      </c>
      <c r="I204">
        <f t="shared" si="3"/>
        <v>114.44</v>
      </c>
      <c r="J204">
        <v>120.16199999999999</v>
      </c>
    </row>
    <row r="205" spans="1:10" x14ac:dyDescent="0.35">
      <c r="A205" t="s">
        <v>10</v>
      </c>
      <c r="B205" t="s">
        <v>11</v>
      </c>
      <c r="C205" t="s">
        <v>12</v>
      </c>
      <c r="D205" t="s">
        <v>13</v>
      </c>
      <c r="E205" t="s">
        <v>18</v>
      </c>
      <c r="F205">
        <v>25.22</v>
      </c>
      <c r="G205">
        <v>7</v>
      </c>
      <c r="H205">
        <v>8.827</v>
      </c>
      <c r="I205">
        <f t="shared" si="3"/>
        <v>176.54</v>
      </c>
      <c r="J205">
        <v>185.36699999999999</v>
      </c>
    </row>
    <row r="206" spans="1:10" x14ac:dyDescent="0.35">
      <c r="A206" t="s">
        <v>10</v>
      </c>
      <c r="B206" t="s">
        <v>15</v>
      </c>
      <c r="C206" t="s">
        <v>16</v>
      </c>
      <c r="D206" t="s">
        <v>13</v>
      </c>
      <c r="E206" t="s">
        <v>22</v>
      </c>
      <c r="F206">
        <v>38.6</v>
      </c>
      <c r="G206">
        <v>3</v>
      </c>
      <c r="H206">
        <v>5.79</v>
      </c>
      <c r="I206">
        <f t="shared" si="3"/>
        <v>115.80000000000001</v>
      </c>
      <c r="J206">
        <v>121.59000000000002</v>
      </c>
    </row>
    <row r="207" spans="1:10" x14ac:dyDescent="0.35">
      <c r="A207" t="s">
        <v>10</v>
      </c>
      <c r="B207" t="s">
        <v>15</v>
      </c>
      <c r="C207" t="s">
        <v>16</v>
      </c>
      <c r="D207" t="s">
        <v>17</v>
      </c>
      <c r="E207" t="s">
        <v>18</v>
      </c>
      <c r="F207">
        <v>84.05</v>
      </c>
      <c r="G207">
        <v>3</v>
      </c>
      <c r="H207">
        <v>12.6075</v>
      </c>
      <c r="I207">
        <f t="shared" si="3"/>
        <v>252.14999999999998</v>
      </c>
      <c r="J207">
        <v>264.75749999999999</v>
      </c>
    </row>
    <row r="208" spans="1:10" x14ac:dyDescent="0.35">
      <c r="A208" t="s">
        <v>10</v>
      </c>
      <c r="B208" t="s">
        <v>15</v>
      </c>
      <c r="C208" t="s">
        <v>16</v>
      </c>
      <c r="D208" t="s">
        <v>13</v>
      </c>
      <c r="E208" t="s">
        <v>23</v>
      </c>
      <c r="F208">
        <v>97.21</v>
      </c>
      <c r="G208">
        <v>10</v>
      </c>
      <c r="H208">
        <v>48.604999999999997</v>
      </c>
      <c r="I208">
        <f t="shared" si="3"/>
        <v>972.09999999999991</v>
      </c>
      <c r="J208">
        <v>1020.7049999999999</v>
      </c>
    </row>
    <row r="209" spans="1:10" x14ac:dyDescent="0.35">
      <c r="A209" t="s">
        <v>10</v>
      </c>
      <c r="B209" t="s">
        <v>20</v>
      </c>
      <c r="C209" t="s">
        <v>21</v>
      </c>
      <c r="D209" t="s">
        <v>13</v>
      </c>
      <c r="E209" t="s">
        <v>22</v>
      </c>
      <c r="F209">
        <v>20.87</v>
      </c>
      <c r="G209">
        <v>3</v>
      </c>
      <c r="H209">
        <v>3.1305000000000001</v>
      </c>
      <c r="I209">
        <f t="shared" si="3"/>
        <v>62.61</v>
      </c>
      <c r="J209">
        <v>65.740499999999997</v>
      </c>
    </row>
    <row r="210" spans="1:10" x14ac:dyDescent="0.35">
      <c r="A210" t="s">
        <v>10</v>
      </c>
      <c r="B210" t="s">
        <v>11</v>
      </c>
      <c r="C210" t="s">
        <v>12</v>
      </c>
      <c r="D210" t="s">
        <v>13</v>
      </c>
      <c r="E210" t="s">
        <v>19</v>
      </c>
      <c r="F210">
        <v>90.65</v>
      </c>
      <c r="G210">
        <v>10</v>
      </c>
      <c r="H210">
        <v>45.325000000000003</v>
      </c>
      <c r="I210">
        <f t="shared" si="3"/>
        <v>906.5</v>
      </c>
      <c r="J210">
        <v>951.82500000000005</v>
      </c>
    </row>
    <row r="211" spans="1:10" x14ac:dyDescent="0.35">
      <c r="A211" t="s">
        <v>10</v>
      </c>
      <c r="B211" t="s">
        <v>11</v>
      </c>
      <c r="C211" t="s">
        <v>12</v>
      </c>
      <c r="D211" t="s">
        <v>17</v>
      </c>
      <c r="E211" t="s">
        <v>18</v>
      </c>
      <c r="F211">
        <v>23.46</v>
      </c>
      <c r="G211">
        <v>6</v>
      </c>
      <c r="H211">
        <v>7.0380000000000003</v>
      </c>
      <c r="I211">
        <f t="shared" si="3"/>
        <v>140.76</v>
      </c>
      <c r="J211">
        <v>147.798</v>
      </c>
    </row>
    <row r="212" spans="1:10" x14ac:dyDescent="0.35">
      <c r="A212" t="s">
        <v>10</v>
      </c>
      <c r="B212" t="s">
        <v>20</v>
      </c>
      <c r="C212" t="s">
        <v>21</v>
      </c>
      <c r="D212" t="s">
        <v>17</v>
      </c>
      <c r="E212" t="s">
        <v>23</v>
      </c>
      <c r="F212">
        <v>47.44</v>
      </c>
      <c r="G212">
        <v>1</v>
      </c>
      <c r="H212">
        <v>2.3719999999999999</v>
      </c>
      <c r="I212">
        <f t="shared" si="3"/>
        <v>47.44</v>
      </c>
      <c r="J212">
        <v>49.811999999999998</v>
      </c>
    </row>
    <row r="213" spans="1:10" x14ac:dyDescent="0.35">
      <c r="A213" t="s">
        <v>10</v>
      </c>
      <c r="B213" t="s">
        <v>15</v>
      </c>
      <c r="C213" t="s">
        <v>16</v>
      </c>
      <c r="D213" t="s">
        <v>17</v>
      </c>
      <c r="E213" t="s">
        <v>18</v>
      </c>
      <c r="F213">
        <v>40.86</v>
      </c>
      <c r="G213">
        <v>8</v>
      </c>
      <c r="H213">
        <v>16.344000000000001</v>
      </c>
      <c r="I213">
        <f t="shared" si="3"/>
        <v>326.88</v>
      </c>
      <c r="J213">
        <v>343.22399999999999</v>
      </c>
    </row>
    <row r="214" spans="1:10" x14ac:dyDescent="0.35">
      <c r="A214" t="s">
        <v>10</v>
      </c>
      <c r="B214" t="s">
        <v>20</v>
      </c>
      <c r="C214" t="s">
        <v>21</v>
      </c>
      <c r="D214" t="s">
        <v>13</v>
      </c>
      <c r="E214" t="s">
        <v>24</v>
      </c>
      <c r="F214">
        <v>88.43</v>
      </c>
      <c r="G214">
        <v>8</v>
      </c>
      <c r="H214">
        <v>35.372</v>
      </c>
      <c r="I214">
        <f t="shared" si="3"/>
        <v>707.44</v>
      </c>
      <c r="J214">
        <v>742.81200000000001</v>
      </c>
    </row>
    <row r="215" spans="1:10" x14ac:dyDescent="0.35">
      <c r="A215" t="s">
        <v>10</v>
      </c>
      <c r="B215" t="s">
        <v>11</v>
      </c>
      <c r="C215" t="s">
        <v>12</v>
      </c>
      <c r="D215" t="s">
        <v>13</v>
      </c>
      <c r="E215" t="s">
        <v>19</v>
      </c>
      <c r="F215">
        <v>89.21</v>
      </c>
      <c r="G215">
        <v>9</v>
      </c>
      <c r="H215">
        <v>401.44499999999999</v>
      </c>
      <c r="I215">
        <f t="shared" si="3"/>
        <v>802.89</v>
      </c>
      <c r="J215">
        <v>1204.335</v>
      </c>
    </row>
    <row r="216" spans="1:10" x14ac:dyDescent="0.35">
      <c r="A216" t="s">
        <v>10</v>
      </c>
      <c r="B216" t="s">
        <v>11</v>
      </c>
      <c r="C216" t="s">
        <v>12</v>
      </c>
      <c r="D216" t="s">
        <v>17</v>
      </c>
      <c r="E216" t="s">
        <v>24</v>
      </c>
      <c r="F216">
        <v>19.100000000000001</v>
      </c>
      <c r="G216">
        <v>7</v>
      </c>
      <c r="H216">
        <v>6.6849999999999996</v>
      </c>
      <c r="I216">
        <f t="shared" si="3"/>
        <v>133.70000000000002</v>
      </c>
      <c r="J216">
        <v>140.38500000000002</v>
      </c>
    </row>
    <row r="217" spans="1:10" x14ac:dyDescent="0.35">
      <c r="A217" t="s">
        <v>10</v>
      </c>
      <c r="B217" t="s">
        <v>20</v>
      </c>
      <c r="C217" t="s">
        <v>21</v>
      </c>
      <c r="D217" t="s">
        <v>13</v>
      </c>
      <c r="E217" t="s">
        <v>14</v>
      </c>
      <c r="F217">
        <v>19.149999999999999</v>
      </c>
      <c r="G217">
        <v>1</v>
      </c>
      <c r="H217">
        <v>9.5749999999999993</v>
      </c>
      <c r="I217">
        <f t="shared" si="3"/>
        <v>19.149999999999999</v>
      </c>
      <c r="J217">
        <v>28.724999999999998</v>
      </c>
    </row>
    <row r="218" spans="1:10" x14ac:dyDescent="0.35">
      <c r="A218" t="s">
        <v>10</v>
      </c>
      <c r="B218" t="s">
        <v>20</v>
      </c>
      <c r="C218" t="s">
        <v>21</v>
      </c>
      <c r="D218" t="s">
        <v>13</v>
      </c>
      <c r="E218" t="s">
        <v>14</v>
      </c>
      <c r="F218">
        <v>27.07</v>
      </c>
      <c r="G218">
        <v>1</v>
      </c>
      <c r="H218">
        <v>1.3534999999999999</v>
      </c>
      <c r="I218">
        <f t="shared" si="3"/>
        <v>27.07</v>
      </c>
      <c r="J218">
        <v>28.423500000000001</v>
      </c>
    </row>
    <row r="219" spans="1:10" x14ac:dyDescent="0.35">
      <c r="A219" t="s">
        <v>10</v>
      </c>
      <c r="B219" t="s">
        <v>20</v>
      </c>
      <c r="C219" t="s">
        <v>21</v>
      </c>
      <c r="D219" t="s">
        <v>13</v>
      </c>
      <c r="E219" t="s">
        <v>24</v>
      </c>
      <c r="F219">
        <v>39.119999999999997</v>
      </c>
      <c r="G219">
        <v>1</v>
      </c>
      <c r="H219">
        <v>1.956</v>
      </c>
      <c r="I219">
        <f t="shared" si="3"/>
        <v>39.119999999999997</v>
      </c>
      <c r="J219">
        <v>41.076000000000001</v>
      </c>
    </row>
    <row r="220" spans="1:10" x14ac:dyDescent="0.35">
      <c r="A220" t="s">
        <v>10</v>
      </c>
      <c r="B220" t="s">
        <v>20</v>
      </c>
      <c r="C220" t="s">
        <v>21</v>
      </c>
      <c r="D220" t="s">
        <v>17</v>
      </c>
      <c r="E220" t="s">
        <v>18</v>
      </c>
      <c r="F220">
        <v>74.709999999999994</v>
      </c>
      <c r="G220">
        <v>6</v>
      </c>
      <c r="H220">
        <v>22.413</v>
      </c>
      <c r="I220">
        <f t="shared" si="3"/>
        <v>448.26</v>
      </c>
      <c r="J220">
        <v>470.673</v>
      </c>
    </row>
    <row r="221" spans="1:10" x14ac:dyDescent="0.35">
      <c r="A221" t="s">
        <v>10</v>
      </c>
      <c r="B221" t="s">
        <v>11</v>
      </c>
      <c r="C221" t="s">
        <v>12</v>
      </c>
      <c r="D221" t="s">
        <v>17</v>
      </c>
      <c r="E221" t="s">
        <v>22</v>
      </c>
      <c r="F221">
        <v>63.61</v>
      </c>
      <c r="G221">
        <v>5</v>
      </c>
      <c r="H221">
        <v>159.02500000000001</v>
      </c>
      <c r="I221">
        <f t="shared" si="3"/>
        <v>318.05</v>
      </c>
      <c r="J221">
        <v>477.07500000000005</v>
      </c>
    </row>
    <row r="222" spans="1:10" x14ac:dyDescent="0.35">
      <c r="A222" t="s">
        <v>10</v>
      </c>
      <c r="B222" t="s">
        <v>20</v>
      </c>
      <c r="C222" t="s">
        <v>21</v>
      </c>
      <c r="D222" t="s">
        <v>13</v>
      </c>
      <c r="E222" t="s">
        <v>23</v>
      </c>
      <c r="F222">
        <v>29.56</v>
      </c>
      <c r="G222">
        <v>5</v>
      </c>
      <c r="H222">
        <v>7.39</v>
      </c>
      <c r="I222">
        <f t="shared" si="3"/>
        <v>147.79999999999998</v>
      </c>
      <c r="J222">
        <v>155.18999999999997</v>
      </c>
    </row>
    <row r="223" spans="1:10" x14ac:dyDescent="0.35">
      <c r="A223" t="s">
        <v>10</v>
      </c>
      <c r="B223" t="s">
        <v>20</v>
      </c>
      <c r="C223" t="s">
        <v>21</v>
      </c>
      <c r="D223" t="s">
        <v>13</v>
      </c>
      <c r="E223" t="s">
        <v>22</v>
      </c>
      <c r="F223">
        <v>77.400000000000006</v>
      </c>
      <c r="G223">
        <v>9</v>
      </c>
      <c r="H223">
        <v>34.83</v>
      </c>
      <c r="I223">
        <f t="shared" si="3"/>
        <v>696.6</v>
      </c>
      <c r="J223">
        <v>731.43000000000006</v>
      </c>
    </row>
    <row r="224" spans="1:10" x14ac:dyDescent="0.35">
      <c r="A224" t="s">
        <v>10</v>
      </c>
      <c r="B224" t="s">
        <v>15</v>
      </c>
      <c r="C224" t="s">
        <v>16</v>
      </c>
      <c r="D224" t="s">
        <v>13</v>
      </c>
      <c r="E224" t="s">
        <v>18</v>
      </c>
      <c r="F224">
        <v>46.57</v>
      </c>
      <c r="G224">
        <v>10</v>
      </c>
      <c r="H224">
        <v>23.285</v>
      </c>
      <c r="I224">
        <f t="shared" si="3"/>
        <v>465.7</v>
      </c>
      <c r="J224">
        <v>488.98500000000001</v>
      </c>
    </row>
    <row r="225" spans="1:10" x14ac:dyDescent="0.35">
      <c r="A225" t="s">
        <v>10</v>
      </c>
      <c r="B225" t="s">
        <v>20</v>
      </c>
      <c r="C225" t="s">
        <v>21</v>
      </c>
      <c r="D225" t="s">
        <v>13</v>
      </c>
      <c r="E225" t="s">
        <v>22</v>
      </c>
      <c r="F225">
        <v>73.05</v>
      </c>
      <c r="G225">
        <v>10</v>
      </c>
      <c r="H225">
        <v>36.524999999999999</v>
      </c>
      <c r="I225">
        <f t="shared" si="3"/>
        <v>730.5</v>
      </c>
      <c r="J225">
        <v>767.02499999999998</v>
      </c>
    </row>
    <row r="226" spans="1:10" x14ac:dyDescent="0.35">
      <c r="A226" t="s">
        <v>10</v>
      </c>
      <c r="B226" t="s">
        <v>15</v>
      </c>
      <c r="C226" t="s">
        <v>16</v>
      </c>
      <c r="D226" t="s">
        <v>17</v>
      </c>
      <c r="E226" t="s">
        <v>24</v>
      </c>
      <c r="F226">
        <v>73.95</v>
      </c>
      <c r="G226">
        <v>4</v>
      </c>
      <c r="H226">
        <v>14.79</v>
      </c>
      <c r="I226">
        <f t="shared" si="3"/>
        <v>295.8</v>
      </c>
      <c r="J226">
        <v>310.59000000000003</v>
      </c>
    </row>
    <row r="227" spans="1:10" x14ac:dyDescent="0.35">
      <c r="A227" t="s">
        <v>10</v>
      </c>
      <c r="B227" t="s">
        <v>15</v>
      </c>
      <c r="C227" t="s">
        <v>16</v>
      </c>
      <c r="D227" t="s">
        <v>13</v>
      </c>
      <c r="E227" t="s">
        <v>22</v>
      </c>
      <c r="F227">
        <v>22.62</v>
      </c>
      <c r="G227">
        <v>1</v>
      </c>
      <c r="H227">
        <v>1.131</v>
      </c>
      <c r="I227">
        <f t="shared" si="3"/>
        <v>22.62</v>
      </c>
      <c r="J227">
        <v>23.751000000000001</v>
      </c>
    </row>
    <row r="228" spans="1:10" x14ac:dyDescent="0.35">
      <c r="A228" t="s">
        <v>10</v>
      </c>
      <c r="B228" t="s">
        <v>15</v>
      </c>
      <c r="C228" t="s">
        <v>16</v>
      </c>
      <c r="D228" t="s">
        <v>13</v>
      </c>
      <c r="E228" t="s">
        <v>24</v>
      </c>
      <c r="F228">
        <v>54.55</v>
      </c>
      <c r="G228">
        <v>10</v>
      </c>
      <c r="H228">
        <v>27.274999999999999</v>
      </c>
      <c r="I228">
        <f t="shared" si="3"/>
        <v>545.5</v>
      </c>
      <c r="J228">
        <v>572.77499999999998</v>
      </c>
    </row>
    <row r="229" spans="1:10" x14ac:dyDescent="0.35">
      <c r="A229" t="s">
        <v>10</v>
      </c>
      <c r="B229" t="s">
        <v>15</v>
      </c>
      <c r="C229" t="s">
        <v>16</v>
      </c>
      <c r="D229" t="s">
        <v>13</v>
      </c>
      <c r="E229" t="s">
        <v>14</v>
      </c>
      <c r="F229">
        <v>37.15</v>
      </c>
      <c r="G229">
        <v>7</v>
      </c>
      <c r="H229">
        <v>130.02500000000001</v>
      </c>
      <c r="I229">
        <f t="shared" si="3"/>
        <v>260.05</v>
      </c>
      <c r="J229">
        <v>390.07500000000005</v>
      </c>
    </row>
    <row r="230" spans="1:10" x14ac:dyDescent="0.35">
      <c r="A230" t="s">
        <v>10</v>
      </c>
      <c r="B230" t="s">
        <v>15</v>
      </c>
      <c r="C230" t="s">
        <v>16</v>
      </c>
      <c r="D230" t="s">
        <v>13</v>
      </c>
      <c r="E230" t="s">
        <v>18</v>
      </c>
      <c r="F230">
        <v>98.84</v>
      </c>
      <c r="G230">
        <v>1</v>
      </c>
      <c r="H230">
        <v>4.9420000000000002</v>
      </c>
      <c r="I230">
        <f t="shared" si="3"/>
        <v>98.84</v>
      </c>
      <c r="J230">
        <v>103.78200000000001</v>
      </c>
    </row>
    <row r="231" spans="1:10" x14ac:dyDescent="0.35">
      <c r="A231" t="s">
        <v>10</v>
      </c>
      <c r="B231" t="s">
        <v>15</v>
      </c>
      <c r="C231" t="s">
        <v>16</v>
      </c>
      <c r="D231" t="s">
        <v>13</v>
      </c>
      <c r="E231" t="s">
        <v>19</v>
      </c>
      <c r="F231">
        <v>83.77</v>
      </c>
      <c r="G231">
        <v>6</v>
      </c>
      <c r="H231">
        <v>25.131</v>
      </c>
      <c r="I231">
        <f t="shared" si="3"/>
        <v>502.62</v>
      </c>
      <c r="J231">
        <v>527.75099999999998</v>
      </c>
    </row>
    <row r="232" spans="1:10" x14ac:dyDescent="0.35">
      <c r="A232" t="s">
        <v>10</v>
      </c>
      <c r="B232" t="s">
        <v>11</v>
      </c>
      <c r="C232" t="s">
        <v>12</v>
      </c>
      <c r="D232" t="s">
        <v>13</v>
      </c>
      <c r="E232" t="s">
        <v>24</v>
      </c>
      <c r="F232">
        <v>40.049999999999997</v>
      </c>
      <c r="G232">
        <v>4</v>
      </c>
      <c r="H232">
        <v>8.01</v>
      </c>
      <c r="I232">
        <f t="shared" si="3"/>
        <v>160.19999999999999</v>
      </c>
      <c r="J232">
        <v>168.20999999999998</v>
      </c>
    </row>
    <row r="233" spans="1:10" x14ac:dyDescent="0.35">
      <c r="A233" t="s">
        <v>10</v>
      </c>
      <c r="B233" t="s">
        <v>11</v>
      </c>
      <c r="C233" t="s">
        <v>12</v>
      </c>
      <c r="D233" t="s">
        <v>13</v>
      </c>
      <c r="E233" t="s">
        <v>18</v>
      </c>
      <c r="F233">
        <v>64.44</v>
      </c>
      <c r="G233">
        <v>5</v>
      </c>
      <c r="H233">
        <v>16.11</v>
      </c>
      <c r="I233">
        <f t="shared" si="3"/>
        <v>322.2</v>
      </c>
      <c r="J233">
        <v>338.31</v>
      </c>
    </row>
    <row r="234" spans="1:10" x14ac:dyDescent="0.35">
      <c r="A234" t="s">
        <v>10</v>
      </c>
      <c r="B234" t="s">
        <v>11</v>
      </c>
      <c r="C234" t="s">
        <v>12</v>
      </c>
      <c r="D234" t="s">
        <v>17</v>
      </c>
      <c r="E234" t="s">
        <v>24</v>
      </c>
      <c r="F234">
        <v>33.26</v>
      </c>
      <c r="G234">
        <v>5</v>
      </c>
      <c r="H234">
        <v>8.3149999999999995</v>
      </c>
      <c r="I234">
        <f t="shared" si="3"/>
        <v>166.29999999999998</v>
      </c>
      <c r="J234">
        <v>174.61499999999998</v>
      </c>
    </row>
    <row r="235" spans="1:10" x14ac:dyDescent="0.35">
      <c r="A235" t="s">
        <v>10</v>
      </c>
      <c r="B235" t="s">
        <v>15</v>
      </c>
      <c r="C235" t="s">
        <v>16</v>
      </c>
      <c r="D235" t="s">
        <v>17</v>
      </c>
      <c r="E235" t="s">
        <v>18</v>
      </c>
      <c r="F235">
        <v>32.799999999999997</v>
      </c>
      <c r="G235">
        <v>10</v>
      </c>
      <c r="H235">
        <v>16.399999999999999</v>
      </c>
      <c r="I235">
        <f t="shared" si="3"/>
        <v>328</v>
      </c>
      <c r="J235">
        <v>344.4</v>
      </c>
    </row>
    <row r="236" spans="1:10" x14ac:dyDescent="0.35">
      <c r="A236" t="s">
        <v>10</v>
      </c>
      <c r="B236" t="s">
        <v>15</v>
      </c>
      <c r="C236" t="s">
        <v>16</v>
      </c>
      <c r="D236" t="s">
        <v>13</v>
      </c>
      <c r="E236" t="s">
        <v>24</v>
      </c>
      <c r="F236">
        <v>36.979999999999997</v>
      </c>
      <c r="G236">
        <v>10</v>
      </c>
      <c r="H236">
        <v>18.489999999999998</v>
      </c>
      <c r="I236">
        <f t="shared" si="3"/>
        <v>369.79999999999995</v>
      </c>
      <c r="J236">
        <v>388.28999999999996</v>
      </c>
    </row>
    <row r="237" spans="1:10" x14ac:dyDescent="0.35">
      <c r="A237" t="s">
        <v>10</v>
      </c>
      <c r="B237" t="s">
        <v>20</v>
      </c>
      <c r="C237" t="s">
        <v>21</v>
      </c>
      <c r="D237" t="s">
        <v>13</v>
      </c>
      <c r="E237" t="s">
        <v>24</v>
      </c>
      <c r="F237">
        <v>49.49</v>
      </c>
      <c r="G237">
        <v>4</v>
      </c>
      <c r="H237">
        <v>9.8979999999999997</v>
      </c>
      <c r="I237">
        <f t="shared" si="3"/>
        <v>197.96</v>
      </c>
      <c r="J237">
        <v>207.858</v>
      </c>
    </row>
    <row r="238" spans="1:10" x14ac:dyDescent="0.35">
      <c r="A238" t="s">
        <v>10</v>
      </c>
      <c r="B238" t="s">
        <v>20</v>
      </c>
      <c r="C238" t="s">
        <v>21</v>
      </c>
      <c r="D238" t="s">
        <v>17</v>
      </c>
      <c r="E238" t="s">
        <v>23</v>
      </c>
      <c r="F238">
        <v>41.09</v>
      </c>
      <c r="G238">
        <v>10</v>
      </c>
      <c r="H238">
        <v>20.545000000000002</v>
      </c>
      <c r="I238">
        <f t="shared" si="3"/>
        <v>410.90000000000003</v>
      </c>
      <c r="J238">
        <v>431.44500000000005</v>
      </c>
    </row>
    <row r="239" spans="1:10" x14ac:dyDescent="0.35">
      <c r="A239" t="s">
        <v>10</v>
      </c>
      <c r="B239" t="s">
        <v>20</v>
      </c>
      <c r="C239" t="s">
        <v>21</v>
      </c>
      <c r="D239" t="s">
        <v>13</v>
      </c>
      <c r="E239" t="s">
        <v>19</v>
      </c>
      <c r="F239">
        <v>77.680000000000007</v>
      </c>
      <c r="G239">
        <v>9</v>
      </c>
      <c r="H239">
        <v>34.956000000000003</v>
      </c>
      <c r="I239">
        <f t="shared" si="3"/>
        <v>699.12000000000012</v>
      </c>
      <c r="J239">
        <v>734.07600000000014</v>
      </c>
    </row>
    <row r="240" spans="1:10" x14ac:dyDescent="0.35">
      <c r="A240" t="s">
        <v>10</v>
      </c>
      <c r="B240" t="s">
        <v>20</v>
      </c>
      <c r="C240" t="s">
        <v>21</v>
      </c>
      <c r="D240" t="s">
        <v>17</v>
      </c>
      <c r="E240" t="s">
        <v>23</v>
      </c>
      <c r="F240">
        <v>34.700000000000003</v>
      </c>
      <c r="G240">
        <v>2</v>
      </c>
      <c r="H240">
        <v>3.47</v>
      </c>
      <c r="I240">
        <f t="shared" si="3"/>
        <v>69.400000000000006</v>
      </c>
      <c r="J240">
        <v>72.87</v>
      </c>
    </row>
    <row r="241" spans="1:10" x14ac:dyDescent="0.35">
      <c r="A241" t="s">
        <v>10</v>
      </c>
      <c r="B241" t="s">
        <v>11</v>
      </c>
      <c r="C241" t="s">
        <v>12</v>
      </c>
      <c r="D241" t="s">
        <v>13</v>
      </c>
      <c r="E241" t="s">
        <v>23</v>
      </c>
      <c r="F241">
        <v>19.66</v>
      </c>
      <c r="G241">
        <v>10</v>
      </c>
      <c r="H241">
        <v>9.83</v>
      </c>
      <c r="I241">
        <f t="shared" si="3"/>
        <v>196.6</v>
      </c>
      <c r="J241">
        <v>206.43</v>
      </c>
    </row>
    <row r="242" spans="1:10" x14ac:dyDescent="0.35">
      <c r="A242" t="s">
        <v>10</v>
      </c>
      <c r="B242" t="s">
        <v>20</v>
      </c>
      <c r="C242" t="s">
        <v>21</v>
      </c>
      <c r="D242" t="s">
        <v>13</v>
      </c>
      <c r="E242" t="s">
        <v>14</v>
      </c>
      <c r="F242">
        <v>25.32</v>
      </c>
      <c r="G242">
        <v>8</v>
      </c>
      <c r="H242">
        <v>10.128</v>
      </c>
      <c r="I242">
        <f t="shared" si="3"/>
        <v>202.56</v>
      </c>
      <c r="J242">
        <v>212.68799999999999</v>
      </c>
    </row>
    <row r="243" spans="1:10" x14ac:dyDescent="0.35">
      <c r="A243" t="s">
        <v>10</v>
      </c>
      <c r="B243" t="s">
        <v>15</v>
      </c>
      <c r="C243" t="s">
        <v>16</v>
      </c>
      <c r="D243" t="s">
        <v>13</v>
      </c>
      <c r="E243" t="s">
        <v>19</v>
      </c>
      <c r="F243">
        <v>12.12</v>
      </c>
      <c r="G243">
        <v>10</v>
      </c>
      <c r="H243">
        <v>6.06</v>
      </c>
      <c r="I243">
        <f t="shared" si="3"/>
        <v>121.19999999999999</v>
      </c>
      <c r="J243">
        <v>127.25999999999999</v>
      </c>
    </row>
    <row r="244" spans="1:10" x14ac:dyDescent="0.35">
      <c r="A244" t="s">
        <v>10</v>
      </c>
      <c r="B244" t="s">
        <v>15</v>
      </c>
      <c r="C244" t="s">
        <v>16</v>
      </c>
      <c r="D244" t="s">
        <v>17</v>
      </c>
      <c r="E244" t="s">
        <v>18</v>
      </c>
      <c r="F244">
        <v>63.22</v>
      </c>
      <c r="G244">
        <v>2</v>
      </c>
      <c r="H244">
        <v>6.3220000000000001</v>
      </c>
      <c r="I244">
        <f t="shared" si="3"/>
        <v>126.44</v>
      </c>
      <c r="J244">
        <v>132.762</v>
      </c>
    </row>
    <row r="245" spans="1:10" x14ac:dyDescent="0.35">
      <c r="A245" t="s">
        <v>10</v>
      </c>
      <c r="B245" t="s">
        <v>15</v>
      </c>
      <c r="C245" t="s">
        <v>16</v>
      </c>
      <c r="D245" t="s">
        <v>17</v>
      </c>
      <c r="E245" t="s">
        <v>22</v>
      </c>
      <c r="F245">
        <v>90.24</v>
      </c>
      <c r="G245">
        <v>6</v>
      </c>
      <c r="H245">
        <v>27.071999999999999</v>
      </c>
      <c r="I245">
        <f t="shared" si="3"/>
        <v>541.43999999999994</v>
      </c>
      <c r="J245">
        <v>568.51199999999994</v>
      </c>
    </row>
    <row r="246" spans="1:10" x14ac:dyDescent="0.35">
      <c r="A246" t="s">
        <v>10</v>
      </c>
      <c r="B246" t="s">
        <v>20</v>
      </c>
      <c r="C246" t="s">
        <v>21</v>
      </c>
      <c r="D246" t="s">
        <v>13</v>
      </c>
      <c r="E246" t="s">
        <v>24</v>
      </c>
      <c r="F246">
        <v>98.13</v>
      </c>
      <c r="G246">
        <v>1</v>
      </c>
      <c r="H246">
        <v>4.9065000000000003</v>
      </c>
      <c r="I246">
        <f t="shared" si="3"/>
        <v>98.13</v>
      </c>
      <c r="J246">
        <v>103.03649999999999</v>
      </c>
    </row>
    <row r="247" spans="1:10" x14ac:dyDescent="0.35">
      <c r="A247" t="s">
        <v>10</v>
      </c>
      <c r="B247" t="s">
        <v>11</v>
      </c>
      <c r="C247" t="s">
        <v>12</v>
      </c>
      <c r="D247" t="s">
        <v>13</v>
      </c>
      <c r="E247" t="s">
        <v>24</v>
      </c>
      <c r="F247">
        <v>51.52</v>
      </c>
      <c r="G247">
        <v>8</v>
      </c>
      <c r="H247">
        <v>20.608000000000001</v>
      </c>
      <c r="I247">
        <f t="shared" si="3"/>
        <v>412.16</v>
      </c>
      <c r="J247">
        <v>432.76800000000003</v>
      </c>
    </row>
    <row r="248" spans="1:10" x14ac:dyDescent="0.35">
      <c r="A248" t="s">
        <v>10</v>
      </c>
      <c r="B248" t="s">
        <v>15</v>
      </c>
      <c r="C248" t="s">
        <v>16</v>
      </c>
      <c r="D248" t="s">
        <v>13</v>
      </c>
      <c r="E248" t="s">
        <v>23</v>
      </c>
      <c r="F248">
        <v>31.9</v>
      </c>
      <c r="G248">
        <v>1</v>
      </c>
      <c r="H248">
        <v>1.595</v>
      </c>
      <c r="I248">
        <f t="shared" si="3"/>
        <v>31.9</v>
      </c>
      <c r="J248">
        <v>33.494999999999997</v>
      </c>
    </row>
    <row r="249" spans="1:10" x14ac:dyDescent="0.35">
      <c r="A249" t="s">
        <v>10</v>
      </c>
      <c r="B249" t="s">
        <v>20</v>
      </c>
      <c r="C249" t="s">
        <v>21</v>
      </c>
      <c r="D249" t="s">
        <v>17</v>
      </c>
      <c r="E249" t="s">
        <v>24</v>
      </c>
      <c r="F249">
        <v>93.31</v>
      </c>
      <c r="G249">
        <v>2</v>
      </c>
      <c r="H249">
        <v>9.3309999999999995</v>
      </c>
      <c r="I249">
        <f t="shared" si="3"/>
        <v>186.62</v>
      </c>
      <c r="J249">
        <v>195.95099999999999</v>
      </c>
    </row>
    <row r="250" spans="1:10" x14ac:dyDescent="0.35">
      <c r="A250" t="s">
        <v>10</v>
      </c>
      <c r="B250" t="s">
        <v>20</v>
      </c>
      <c r="C250" t="s">
        <v>21</v>
      </c>
      <c r="D250" t="s">
        <v>13</v>
      </c>
      <c r="E250" t="s">
        <v>24</v>
      </c>
      <c r="F250">
        <v>48.5</v>
      </c>
      <c r="G250">
        <v>3</v>
      </c>
      <c r="H250">
        <v>7.2750000000000004</v>
      </c>
      <c r="I250">
        <f t="shared" si="3"/>
        <v>145.5</v>
      </c>
      <c r="J250">
        <v>152.77500000000001</v>
      </c>
    </row>
    <row r="251" spans="1:10" x14ac:dyDescent="0.35">
      <c r="A251" t="s">
        <v>10</v>
      </c>
      <c r="B251" t="s">
        <v>20</v>
      </c>
      <c r="C251" t="s">
        <v>21</v>
      </c>
      <c r="D251" t="s">
        <v>17</v>
      </c>
      <c r="E251" t="s">
        <v>22</v>
      </c>
      <c r="F251">
        <v>84.05</v>
      </c>
      <c r="G251">
        <v>6</v>
      </c>
      <c r="H251">
        <v>25.215</v>
      </c>
      <c r="I251">
        <f t="shared" si="3"/>
        <v>504.29999999999995</v>
      </c>
      <c r="J251">
        <v>529.51499999999999</v>
      </c>
    </row>
    <row r="252" spans="1:10" x14ac:dyDescent="0.35">
      <c r="A252" t="s">
        <v>10</v>
      </c>
      <c r="B252" t="s">
        <v>15</v>
      </c>
      <c r="C252" t="s">
        <v>16</v>
      </c>
      <c r="D252" t="s">
        <v>13</v>
      </c>
      <c r="E252" t="s">
        <v>19</v>
      </c>
      <c r="F252">
        <v>15.95</v>
      </c>
      <c r="G252">
        <v>6</v>
      </c>
      <c r="H252">
        <v>4.7850000000000001</v>
      </c>
      <c r="I252">
        <f t="shared" si="3"/>
        <v>95.699999999999989</v>
      </c>
      <c r="J252">
        <v>100.48499999999999</v>
      </c>
    </row>
    <row r="253" spans="1:10" x14ac:dyDescent="0.35">
      <c r="A253" t="s">
        <v>10</v>
      </c>
      <c r="B253" t="s">
        <v>20</v>
      </c>
      <c r="C253" t="s">
        <v>21</v>
      </c>
      <c r="D253" t="s">
        <v>13</v>
      </c>
      <c r="E253" t="s">
        <v>24</v>
      </c>
      <c r="F253">
        <v>90.74</v>
      </c>
      <c r="G253">
        <v>7</v>
      </c>
      <c r="H253">
        <v>31.759</v>
      </c>
      <c r="I253">
        <f t="shared" si="3"/>
        <v>635.17999999999995</v>
      </c>
      <c r="J253">
        <v>666.93899999999996</v>
      </c>
    </row>
    <row r="254" spans="1:10" x14ac:dyDescent="0.35">
      <c r="A254" t="s">
        <v>10</v>
      </c>
      <c r="B254" t="s">
        <v>11</v>
      </c>
      <c r="C254" t="s">
        <v>12</v>
      </c>
      <c r="D254" t="s">
        <v>17</v>
      </c>
      <c r="E254" t="s">
        <v>19</v>
      </c>
      <c r="F254">
        <v>42.91</v>
      </c>
      <c r="G254">
        <v>5</v>
      </c>
      <c r="H254">
        <v>10.727499999999999</v>
      </c>
      <c r="I254">
        <f t="shared" si="3"/>
        <v>214.54999999999998</v>
      </c>
      <c r="J254">
        <v>225.27749999999997</v>
      </c>
    </row>
    <row r="255" spans="1:10" x14ac:dyDescent="0.35">
      <c r="A255" t="s">
        <v>10</v>
      </c>
      <c r="B255" t="s">
        <v>11</v>
      </c>
      <c r="C255" t="s">
        <v>12</v>
      </c>
      <c r="D255" t="s">
        <v>17</v>
      </c>
      <c r="E255" t="s">
        <v>23</v>
      </c>
      <c r="F255">
        <v>54.28</v>
      </c>
      <c r="G255">
        <v>7</v>
      </c>
      <c r="H255">
        <v>18.998000000000001</v>
      </c>
      <c r="I255">
        <f t="shared" si="3"/>
        <v>379.96000000000004</v>
      </c>
      <c r="J255">
        <v>398.95800000000003</v>
      </c>
    </row>
    <row r="256" spans="1:10" x14ac:dyDescent="0.35">
      <c r="A256" t="s">
        <v>10</v>
      </c>
      <c r="B256" t="s">
        <v>15</v>
      </c>
      <c r="C256" t="s">
        <v>16</v>
      </c>
      <c r="D256" t="s">
        <v>13</v>
      </c>
      <c r="E256" t="s">
        <v>23</v>
      </c>
      <c r="F256">
        <v>51.47</v>
      </c>
      <c r="G256">
        <v>1</v>
      </c>
      <c r="H256">
        <v>2.5735000000000001</v>
      </c>
      <c r="I256">
        <f t="shared" si="3"/>
        <v>51.47</v>
      </c>
      <c r="J256">
        <v>54.043500000000002</v>
      </c>
    </row>
    <row r="257" spans="1:10" x14ac:dyDescent="0.35">
      <c r="A257" t="s">
        <v>10</v>
      </c>
      <c r="B257" t="s">
        <v>20</v>
      </c>
      <c r="C257" t="s">
        <v>21</v>
      </c>
      <c r="D257" t="s">
        <v>17</v>
      </c>
      <c r="E257" t="s">
        <v>18</v>
      </c>
      <c r="F257">
        <v>45.71</v>
      </c>
      <c r="G257">
        <v>3</v>
      </c>
      <c r="H257">
        <v>6.8564999999999996</v>
      </c>
      <c r="I257">
        <f t="shared" si="3"/>
        <v>137.13</v>
      </c>
      <c r="J257">
        <v>143.98650000000001</v>
      </c>
    </row>
    <row r="258" spans="1:10" x14ac:dyDescent="0.35">
      <c r="A258" t="s">
        <v>10</v>
      </c>
      <c r="B258" t="s">
        <v>15</v>
      </c>
      <c r="C258" t="s">
        <v>16</v>
      </c>
      <c r="D258" t="s">
        <v>13</v>
      </c>
      <c r="E258" t="s">
        <v>19</v>
      </c>
      <c r="F258">
        <v>83.17</v>
      </c>
      <c r="G258">
        <v>6</v>
      </c>
      <c r="H258">
        <v>24.951000000000001</v>
      </c>
      <c r="I258">
        <f t="shared" si="3"/>
        <v>499.02</v>
      </c>
      <c r="J258">
        <v>523.971</v>
      </c>
    </row>
    <row r="259" spans="1:10" x14ac:dyDescent="0.35">
      <c r="A259" t="s">
        <v>10</v>
      </c>
      <c r="B259" t="s">
        <v>11</v>
      </c>
      <c r="C259" t="s">
        <v>12</v>
      </c>
      <c r="D259" t="s">
        <v>13</v>
      </c>
      <c r="E259" t="s">
        <v>19</v>
      </c>
      <c r="F259">
        <v>37.44</v>
      </c>
      <c r="G259">
        <v>6</v>
      </c>
      <c r="H259">
        <v>11.231999999999999</v>
      </c>
      <c r="I259">
        <f t="shared" ref="I259:I322" si="4">F259*G259</f>
        <v>224.64</v>
      </c>
      <c r="J259">
        <v>235.87199999999999</v>
      </c>
    </row>
    <row r="260" spans="1:10" x14ac:dyDescent="0.35">
      <c r="A260" t="s">
        <v>10</v>
      </c>
      <c r="B260" t="s">
        <v>11</v>
      </c>
      <c r="C260" t="s">
        <v>12</v>
      </c>
      <c r="D260" t="s">
        <v>13</v>
      </c>
      <c r="E260" t="s">
        <v>24</v>
      </c>
      <c r="F260">
        <v>91.41</v>
      </c>
      <c r="G260">
        <v>5</v>
      </c>
      <c r="H260">
        <v>228.52500000000001</v>
      </c>
      <c r="I260">
        <f t="shared" si="4"/>
        <v>457.04999999999995</v>
      </c>
      <c r="J260">
        <v>685.57499999999993</v>
      </c>
    </row>
    <row r="261" spans="1:10" x14ac:dyDescent="0.35">
      <c r="A261" t="s">
        <v>10</v>
      </c>
      <c r="B261" t="s">
        <v>20</v>
      </c>
      <c r="C261" t="s">
        <v>21</v>
      </c>
      <c r="D261" t="s">
        <v>13</v>
      </c>
      <c r="E261" t="s">
        <v>22</v>
      </c>
      <c r="F261">
        <v>54.36</v>
      </c>
      <c r="G261">
        <v>10</v>
      </c>
      <c r="H261">
        <v>27.18</v>
      </c>
      <c r="I261">
        <f t="shared" si="4"/>
        <v>543.6</v>
      </c>
      <c r="J261">
        <v>570.78</v>
      </c>
    </row>
    <row r="262" spans="1:10" x14ac:dyDescent="0.35">
      <c r="A262" t="s">
        <v>10</v>
      </c>
      <c r="B262" t="s">
        <v>15</v>
      </c>
      <c r="C262" t="s">
        <v>16</v>
      </c>
      <c r="D262" t="s">
        <v>17</v>
      </c>
      <c r="E262" t="s">
        <v>22</v>
      </c>
      <c r="F262">
        <v>16.309999999999999</v>
      </c>
      <c r="G262">
        <v>9</v>
      </c>
      <c r="H262">
        <v>7.3395000000000001</v>
      </c>
      <c r="I262">
        <f t="shared" si="4"/>
        <v>146.79</v>
      </c>
      <c r="J262">
        <v>154.12949999999998</v>
      </c>
    </row>
    <row r="263" spans="1:10" x14ac:dyDescent="0.35">
      <c r="A263" t="s">
        <v>10</v>
      </c>
      <c r="B263" t="s">
        <v>11</v>
      </c>
      <c r="C263" t="s">
        <v>12</v>
      </c>
      <c r="D263" t="s">
        <v>17</v>
      </c>
      <c r="E263" t="s">
        <v>19</v>
      </c>
      <c r="F263">
        <v>28.32</v>
      </c>
      <c r="G263">
        <v>5</v>
      </c>
      <c r="H263">
        <v>7.08</v>
      </c>
      <c r="I263">
        <f t="shared" si="4"/>
        <v>141.6</v>
      </c>
      <c r="J263">
        <v>148.68</v>
      </c>
    </row>
    <row r="264" spans="1:10" x14ac:dyDescent="0.35">
      <c r="A264" t="s">
        <v>10</v>
      </c>
      <c r="B264" t="s">
        <v>20</v>
      </c>
      <c r="C264" t="s">
        <v>21</v>
      </c>
      <c r="D264" t="s">
        <v>13</v>
      </c>
      <c r="E264" t="s">
        <v>23</v>
      </c>
      <c r="F264">
        <v>73.959999999999994</v>
      </c>
      <c r="G264">
        <v>1</v>
      </c>
      <c r="H264">
        <v>3.698</v>
      </c>
      <c r="I264">
        <f t="shared" si="4"/>
        <v>73.959999999999994</v>
      </c>
      <c r="J264">
        <v>77.657999999999987</v>
      </c>
    </row>
    <row r="265" spans="1:10" x14ac:dyDescent="0.35">
      <c r="A265" t="s">
        <v>10</v>
      </c>
      <c r="B265" t="s">
        <v>11</v>
      </c>
      <c r="C265" t="s">
        <v>12</v>
      </c>
      <c r="D265" t="s">
        <v>17</v>
      </c>
      <c r="E265" t="s">
        <v>23</v>
      </c>
      <c r="F265">
        <v>73.05</v>
      </c>
      <c r="G265">
        <v>4</v>
      </c>
      <c r="H265">
        <v>14.61</v>
      </c>
      <c r="I265">
        <f t="shared" si="4"/>
        <v>292.2</v>
      </c>
      <c r="J265">
        <v>306.81</v>
      </c>
    </row>
    <row r="266" spans="1:10" x14ac:dyDescent="0.35">
      <c r="A266" t="s">
        <v>10</v>
      </c>
      <c r="B266" t="s">
        <v>15</v>
      </c>
      <c r="C266" t="s">
        <v>16</v>
      </c>
      <c r="D266" t="s">
        <v>13</v>
      </c>
      <c r="E266" t="s">
        <v>22</v>
      </c>
      <c r="F266">
        <v>87.48</v>
      </c>
      <c r="G266">
        <v>6</v>
      </c>
      <c r="H266">
        <v>26.244</v>
      </c>
      <c r="I266">
        <f t="shared" si="4"/>
        <v>524.88</v>
      </c>
      <c r="J266">
        <v>551.12400000000002</v>
      </c>
    </row>
    <row r="267" spans="1:10" x14ac:dyDescent="0.35">
      <c r="A267" t="s">
        <v>10</v>
      </c>
      <c r="B267" t="s">
        <v>20</v>
      </c>
      <c r="C267" t="s">
        <v>21</v>
      </c>
      <c r="D267" t="s">
        <v>13</v>
      </c>
      <c r="E267" t="s">
        <v>24</v>
      </c>
      <c r="F267">
        <v>20.18</v>
      </c>
      <c r="G267">
        <v>4</v>
      </c>
      <c r="H267">
        <v>4.0359999999999996</v>
      </c>
      <c r="I267">
        <f t="shared" si="4"/>
        <v>80.72</v>
      </c>
      <c r="J267">
        <v>84.756</v>
      </c>
    </row>
    <row r="268" spans="1:10" x14ac:dyDescent="0.35">
      <c r="A268" t="s">
        <v>10</v>
      </c>
      <c r="B268" t="s">
        <v>20</v>
      </c>
      <c r="C268" t="s">
        <v>21</v>
      </c>
      <c r="D268" t="s">
        <v>17</v>
      </c>
      <c r="E268" t="s">
        <v>22</v>
      </c>
      <c r="F268">
        <v>71.2</v>
      </c>
      <c r="G268">
        <v>1</v>
      </c>
      <c r="H268">
        <v>3.56</v>
      </c>
      <c r="I268">
        <f t="shared" si="4"/>
        <v>71.2</v>
      </c>
      <c r="J268">
        <v>74.760000000000005</v>
      </c>
    </row>
    <row r="269" spans="1:10" x14ac:dyDescent="0.35">
      <c r="A269" t="s">
        <v>10</v>
      </c>
      <c r="B269" t="s">
        <v>11</v>
      </c>
      <c r="C269" t="s">
        <v>12</v>
      </c>
      <c r="D269" t="s">
        <v>17</v>
      </c>
      <c r="E269" t="s">
        <v>23</v>
      </c>
      <c r="F269">
        <v>29.42</v>
      </c>
      <c r="G269">
        <v>10</v>
      </c>
      <c r="H269">
        <v>14.71</v>
      </c>
      <c r="I269">
        <f t="shared" si="4"/>
        <v>294.20000000000005</v>
      </c>
      <c r="J269">
        <v>308.91000000000003</v>
      </c>
    </row>
    <row r="270" spans="1:10" x14ac:dyDescent="0.35">
      <c r="A270" t="s">
        <v>10</v>
      </c>
      <c r="B270" t="s">
        <v>20</v>
      </c>
      <c r="C270" t="s">
        <v>21</v>
      </c>
      <c r="D270" t="s">
        <v>17</v>
      </c>
      <c r="E270" t="s">
        <v>24</v>
      </c>
      <c r="F270">
        <v>51.54</v>
      </c>
      <c r="G270">
        <v>5</v>
      </c>
      <c r="H270">
        <v>12.885</v>
      </c>
      <c r="I270">
        <f t="shared" si="4"/>
        <v>257.7</v>
      </c>
      <c r="J270">
        <v>270.58499999999998</v>
      </c>
    </row>
    <row r="271" spans="1:10" x14ac:dyDescent="0.35">
      <c r="A271" t="s">
        <v>10</v>
      </c>
      <c r="B271" t="s">
        <v>11</v>
      </c>
      <c r="C271" t="s">
        <v>12</v>
      </c>
      <c r="D271" t="s">
        <v>17</v>
      </c>
      <c r="E271" t="s">
        <v>18</v>
      </c>
      <c r="F271">
        <v>66.06</v>
      </c>
      <c r="G271">
        <v>6</v>
      </c>
      <c r="H271">
        <v>19.818000000000001</v>
      </c>
      <c r="I271">
        <f t="shared" si="4"/>
        <v>396.36</v>
      </c>
      <c r="J271">
        <v>416.178</v>
      </c>
    </row>
    <row r="272" spans="1:10" x14ac:dyDescent="0.35">
      <c r="A272" t="s">
        <v>10</v>
      </c>
      <c r="B272" t="s">
        <v>20</v>
      </c>
      <c r="C272" t="s">
        <v>21</v>
      </c>
      <c r="D272" t="s">
        <v>17</v>
      </c>
      <c r="E272" t="s">
        <v>23</v>
      </c>
      <c r="F272">
        <v>54.31</v>
      </c>
      <c r="G272">
        <v>9</v>
      </c>
      <c r="H272">
        <v>244.39500000000001</v>
      </c>
      <c r="I272">
        <f t="shared" si="4"/>
        <v>488.79</v>
      </c>
      <c r="J272">
        <v>733.18500000000006</v>
      </c>
    </row>
    <row r="273" spans="1:10" x14ac:dyDescent="0.35">
      <c r="A273" t="s">
        <v>10</v>
      </c>
      <c r="B273" t="s">
        <v>20</v>
      </c>
      <c r="C273" t="s">
        <v>21</v>
      </c>
      <c r="D273" t="s">
        <v>17</v>
      </c>
      <c r="E273" t="s">
        <v>14</v>
      </c>
      <c r="F273">
        <v>58.24</v>
      </c>
      <c r="G273">
        <v>9</v>
      </c>
      <c r="H273">
        <v>26.207999999999998</v>
      </c>
      <c r="I273">
        <f t="shared" si="4"/>
        <v>524.16</v>
      </c>
      <c r="J273">
        <v>550.36799999999994</v>
      </c>
    </row>
    <row r="274" spans="1:10" x14ac:dyDescent="0.35">
      <c r="A274" t="s">
        <v>10</v>
      </c>
      <c r="B274" t="s">
        <v>20</v>
      </c>
      <c r="C274" t="s">
        <v>21</v>
      </c>
      <c r="D274" t="s">
        <v>13</v>
      </c>
      <c r="E274" t="s">
        <v>23</v>
      </c>
      <c r="F274">
        <v>72.040000000000006</v>
      </c>
      <c r="G274">
        <v>2</v>
      </c>
      <c r="H274">
        <v>7.2039999999999997</v>
      </c>
      <c r="I274">
        <f t="shared" si="4"/>
        <v>144.08000000000001</v>
      </c>
      <c r="J274">
        <v>151.28400000000002</v>
      </c>
    </row>
    <row r="275" spans="1:10" x14ac:dyDescent="0.35">
      <c r="A275" t="s">
        <v>10</v>
      </c>
      <c r="B275" t="s">
        <v>15</v>
      </c>
      <c r="C275" t="s">
        <v>16</v>
      </c>
      <c r="D275" t="s">
        <v>13</v>
      </c>
      <c r="E275" t="s">
        <v>22</v>
      </c>
      <c r="F275">
        <v>98.52</v>
      </c>
      <c r="G275">
        <v>10</v>
      </c>
      <c r="H275">
        <v>49.26</v>
      </c>
      <c r="I275">
        <f t="shared" si="4"/>
        <v>985.19999999999993</v>
      </c>
      <c r="J275">
        <v>1034.46</v>
      </c>
    </row>
    <row r="276" spans="1:10" x14ac:dyDescent="0.35">
      <c r="A276" t="s">
        <v>10</v>
      </c>
      <c r="B276" t="s">
        <v>11</v>
      </c>
      <c r="C276" t="s">
        <v>12</v>
      </c>
      <c r="D276" t="s">
        <v>13</v>
      </c>
      <c r="E276" t="s">
        <v>19</v>
      </c>
      <c r="F276">
        <v>72.42</v>
      </c>
      <c r="G276">
        <v>3</v>
      </c>
      <c r="H276">
        <v>10.863</v>
      </c>
      <c r="I276">
        <f t="shared" si="4"/>
        <v>217.26</v>
      </c>
      <c r="J276">
        <v>228.12299999999999</v>
      </c>
    </row>
    <row r="277" spans="1:10" x14ac:dyDescent="0.35">
      <c r="A277" t="s">
        <v>10</v>
      </c>
      <c r="B277" t="s">
        <v>20</v>
      </c>
      <c r="C277" t="s">
        <v>21</v>
      </c>
      <c r="D277" t="s">
        <v>17</v>
      </c>
      <c r="E277" t="s">
        <v>18</v>
      </c>
      <c r="F277">
        <v>42.42</v>
      </c>
      <c r="G277">
        <v>8</v>
      </c>
      <c r="H277">
        <v>16.968</v>
      </c>
      <c r="I277">
        <f t="shared" si="4"/>
        <v>339.36</v>
      </c>
      <c r="J277">
        <v>356.32800000000003</v>
      </c>
    </row>
    <row r="278" spans="1:10" x14ac:dyDescent="0.35">
      <c r="A278" t="s">
        <v>10</v>
      </c>
      <c r="B278" t="s">
        <v>11</v>
      </c>
      <c r="C278" t="s">
        <v>12</v>
      </c>
      <c r="D278" t="s">
        <v>17</v>
      </c>
      <c r="E278" t="s">
        <v>22</v>
      </c>
      <c r="F278">
        <v>81.209999999999994</v>
      </c>
      <c r="G278">
        <v>10</v>
      </c>
      <c r="H278">
        <v>40.604999999999997</v>
      </c>
      <c r="I278">
        <f t="shared" si="4"/>
        <v>812.09999999999991</v>
      </c>
      <c r="J278">
        <v>852.70499999999993</v>
      </c>
    </row>
    <row r="279" spans="1:10" x14ac:dyDescent="0.35">
      <c r="A279" t="s">
        <v>10</v>
      </c>
      <c r="B279" t="s">
        <v>15</v>
      </c>
      <c r="C279" t="s">
        <v>16</v>
      </c>
      <c r="D279" t="s">
        <v>17</v>
      </c>
      <c r="E279" t="s">
        <v>24</v>
      </c>
      <c r="F279">
        <v>49.33</v>
      </c>
      <c r="G279">
        <v>10</v>
      </c>
      <c r="H279">
        <v>24.664999999999999</v>
      </c>
      <c r="I279">
        <f t="shared" si="4"/>
        <v>493.29999999999995</v>
      </c>
      <c r="J279">
        <v>517.96499999999992</v>
      </c>
    </row>
    <row r="280" spans="1:10" x14ac:dyDescent="0.35">
      <c r="A280" t="s">
        <v>10</v>
      </c>
      <c r="B280" t="s">
        <v>11</v>
      </c>
      <c r="C280" t="s">
        <v>12</v>
      </c>
      <c r="D280" t="s">
        <v>17</v>
      </c>
      <c r="E280" t="s">
        <v>23</v>
      </c>
      <c r="F280">
        <v>65.739999999999995</v>
      </c>
      <c r="G280">
        <v>9</v>
      </c>
      <c r="H280">
        <v>29.582999999999998</v>
      </c>
      <c r="I280">
        <f t="shared" si="4"/>
        <v>591.66</v>
      </c>
      <c r="J280">
        <v>621.24299999999994</v>
      </c>
    </row>
    <row r="281" spans="1:10" x14ac:dyDescent="0.35">
      <c r="A281" t="s">
        <v>10</v>
      </c>
      <c r="B281" t="s">
        <v>20</v>
      </c>
      <c r="C281" t="s">
        <v>21</v>
      </c>
      <c r="D281" t="s">
        <v>17</v>
      </c>
      <c r="E281" t="s">
        <v>23</v>
      </c>
      <c r="F281">
        <v>79.86</v>
      </c>
      <c r="G281">
        <v>7</v>
      </c>
      <c r="H281">
        <v>27.951000000000001</v>
      </c>
      <c r="I281">
        <f t="shared" si="4"/>
        <v>559.02</v>
      </c>
      <c r="J281">
        <v>586.971</v>
      </c>
    </row>
    <row r="282" spans="1:10" x14ac:dyDescent="0.35">
      <c r="A282" t="s">
        <v>10</v>
      </c>
      <c r="B282" t="s">
        <v>15</v>
      </c>
      <c r="C282" t="s">
        <v>16</v>
      </c>
      <c r="D282" t="s">
        <v>17</v>
      </c>
      <c r="E282" t="s">
        <v>24</v>
      </c>
      <c r="F282">
        <v>73.98</v>
      </c>
      <c r="G282">
        <v>7</v>
      </c>
      <c r="H282">
        <v>25.893000000000001</v>
      </c>
      <c r="I282">
        <f t="shared" si="4"/>
        <v>517.86</v>
      </c>
      <c r="J282">
        <v>543.75300000000004</v>
      </c>
    </row>
    <row r="283" spans="1:10" x14ac:dyDescent="0.35">
      <c r="A283" t="s">
        <v>10</v>
      </c>
      <c r="B283" t="s">
        <v>20</v>
      </c>
      <c r="C283" t="s">
        <v>21</v>
      </c>
      <c r="D283" t="s">
        <v>13</v>
      </c>
      <c r="E283" t="s">
        <v>19</v>
      </c>
      <c r="F283">
        <v>82.04</v>
      </c>
      <c r="G283">
        <v>5</v>
      </c>
      <c r="H283">
        <v>20.51</v>
      </c>
      <c r="I283">
        <f t="shared" si="4"/>
        <v>410.20000000000005</v>
      </c>
      <c r="J283">
        <v>430.71000000000004</v>
      </c>
    </row>
    <row r="284" spans="1:10" x14ac:dyDescent="0.35">
      <c r="A284" t="s">
        <v>10</v>
      </c>
      <c r="B284" t="s">
        <v>11</v>
      </c>
      <c r="C284" t="s">
        <v>12</v>
      </c>
      <c r="D284" t="s">
        <v>17</v>
      </c>
      <c r="E284" t="s">
        <v>14</v>
      </c>
      <c r="F284">
        <v>64.27</v>
      </c>
      <c r="G284">
        <v>4</v>
      </c>
      <c r="H284">
        <v>12.853999999999999</v>
      </c>
      <c r="I284">
        <f t="shared" si="4"/>
        <v>257.08</v>
      </c>
      <c r="J284">
        <v>269.93399999999997</v>
      </c>
    </row>
    <row r="285" spans="1:10" x14ac:dyDescent="0.35">
      <c r="A285" t="s">
        <v>10</v>
      </c>
      <c r="B285" t="s">
        <v>11</v>
      </c>
      <c r="C285" t="s">
        <v>12</v>
      </c>
      <c r="D285" t="s">
        <v>13</v>
      </c>
      <c r="E285" t="s">
        <v>14</v>
      </c>
      <c r="F285">
        <v>77.680000000000007</v>
      </c>
      <c r="G285">
        <v>4</v>
      </c>
      <c r="H285">
        <v>15.536</v>
      </c>
      <c r="I285">
        <f t="shared" si="4"/>
        <v>310.72000000000003</v>
      </c>
      <c r="J285">
        <v>326.25600000000003</v>
      </c>
    </row>
    <row r="286" spans="1:10" x14ac:dyDescent="0.35">
      <c r="A286" t="s">
        <v>10</v>
      </c>
      <c r="B286" t="s">
        <v>15</v>
      </c>
      <c r="C286" t="s">
        <v>16</v>
      </c>
      <c r="D286" t="s">
        <v>13</v>
      </c>
      <c r="E286" t="s">
        <v>23</v>
      </c>
      <c r="F286">
        <v>92.98</v>
      </c>
      <c r="G286">
        <v>2</v>
      </c>
      <c r="H286">
        <v>9.298</v>
      </c>
      <c r="I286">
        <f t="shared" si="4"/>
        <v>185.96</v>
      </c>
      <c r="J286">
        <v>195.25800000000001</v>
      </c>
    </row>
    <row r="287" spans="1:10" x14ac:dyDescent="0.35">
      <c r="A287" t="s">
        <v>10</v>
      </c>
      <c r="B287" t="s">
        <v>20</v>
      </c>
      <c r="C287" t="s">
        <v>21</v>
      </c>
      <c r="D287" t="s">
        <v>13</v>
      </c>
      <c r="E287" t="s">
        <v>23</v>
      </c>
      <c r="F287">
        <v>18.079999999999998</v>
      </c>
      <c r="G287">
        <v>4</v>
      </c>
      <c r="H287">
        <v>3.6160000000000001</v>
      </c>
      <c r="I287">
        <f t="shared" si="4"/>
        <v>72.319999999999993</v>
      </c>
      <c r="J287">
        <v>75.935999999999993</v>
      </c>
    </row>
    <row r="288" spans="1:10" x14ac:dyDescent="0.35">
      <c r="A288" t="s">
        <v>10</v>
      </c>
      <c r="B288" t="s">
        <v>11</v>
      </c>
      <c r="C288" t="s">
        <v>12</v>
      </c>
      <c r="D288" t="s">
        <v>17</v>
      </c>
      <c r="E288" t="s">
        <v>22</v>
      </c>
      <c r="F288">
        <v>52.34</v>
      </c>
      <c r="G288">
        <v>3</v>
      </c>
      <c r="H288">
        <v>7.851</v>
      </c>
      <c r="I288">
        <f t="shared" si="4"/>
        <v>157.02000000000001</v>
      </c>
      <c r="J288">
        <v>164.87100000000001</v>
      </c>
    </row>
    <row r="289" spans="1:10" x14ac:dyDescent="0.35">
      <c r="A289" t="s">
        <v>10</v>
      </c>
      <c r="B289" t="s">
        <v>11</v>
      </c>
      <c r="C289" t="s">
        <v>12</v>
      </c>
      <c r="D289" t="s">
        <v>17</v>
      </c>
      <c r="E289" t="s">
        <v>24</v>
      </c>
      <c r="F289">
        <v>43.06</v>
      </c>
      <c r="G289">
        <v>5</v>
      </c>
      <c r="H289">
        <v>10.765000000000001</v>
      </c>
      <c r="I289">
        <f t="shared" si="4"/>
        <v>215.3</v>
      </c>
      <c r="J289">
        <v>226.065</v>
      </c>
    </row>
    <row r="290" spans="1:10" x14ac:dyDescent="0.35">
      <c r="A290" t="s">
        <v>10</v>
      </c>
      <c r="B290" t="s">
        <v>15</v>
      </c>
      <c r="C290" t="s">
        <v>16</v>
      </c>
      <c r="D290" t="s">
        <v>13</v>
      </c>
      <c r="E290" t="s">
        <v>19</v>
      </c>
      <c r="F290">
        <v>24.24</v>
      </c>
      <c r="G290">
        <v>7</v>
      </c>
      <c r="H290">
        <v>8.484</v>
      </c>
      <c r="I290">
        <f t="shared" si="4"/>
        <v>169.67999999999998</v>
      </c>
      <c r="J290">
        <v>178.16399999999999</v>
      </c>
    </row>
    <row r="291" spans="1:10" x14ac:dyDescent="0.35">
      <c r="A291" t="s">
        <v>10</v>
      </c>
      <c r="B291" t="s">
        <v>11</v>
      </c>
      <c r="C291" t="s">
        <v>12</v>
      </c>
      <c r="D291" t="s">
        <v>13</v>
      </c>
      <c r="E291" t="s">
        <v>24</v>
      </c>
      <c r="F291">
        <v>45.58</v>
      </c>
      <c r="G291">
        <v>1</v>
      </c>
      <c r="H291">
        <v>2.2789999999999999</v>
      </c>
      <c r="I291">
        <f t="shared" si="4"/>
        <v>45.58</v>
      </c>
      <c r="J291">
        <v>47.858999999999995</v>
      </c>
    </row>
    <row r="292" spans="1:10" x14ac:dyDescent="0.35">
      <c r="A292" t="s">
        <v>10</v>
      </c>
      <c r="B292" t="s">
        <v>11</v>
      </c>
      <c r="C292" t="s">
        <v>12</v>
      </c>
      <c r="D292" t="s">
        <v>13</v>
      </c>
      <c r="E292" t="s">
        <v>24</v>
      </c>
      <c r="F292">
        <v>75.2</v>
      </c>
      <c r="G292">
        <v>3</v>
      </c>
      <c r="H292">
        <v>11.28</v>
      </c>
      <c r="I292">
        <f t="shared" si="4"/>
        <v>225.60000000000002</v>
      </c>
      <c r="J292">
        <v>236.88000000000002</v>
      </c>
    </row>
    <row r="293" spans="1:10" x14ac:dyDescent="0.35">
      <c r="A293" t="s">
        <v>10</v>
      </c>
      <c r="B293" t="s">
        <v>15</v>
      </c>
      <c r="C293" t="s">
        <v>16</v>
      </c>
      <c r="D293" t="s">
        <v>17</v>
      </c>
      <c r="E293" t="s">
        <v>24</v>
      </c>
      <c r="F293">
        <v>46.66</v>
      </c>
      <c r="G293">
        <v>9</v>
      </c>
      <c r="H293">
        <v>20.997</v>
      </c>
      <c r="I293">
        <f t="shared" si="4"/>
        <v>419.93999999999994</v>
      </c>
      <c r="J293">
        <v>440.93699999999995</v>
      </c>
    </row>
    <row r="294" spans="1:10" x14ac:dyDescent="0.35">
      <c r="A294" t="s">
        <v>10</v>
      </c>
      <c r="B294" t="s">
        <v>15</v>
      </c>
      <c r="C294" t="s">
        <v>16</v>
      </c>
      <c r="D294" t="s">
        <v>17</v>
      </c>
      <c r="E294" t="s">
        <v>23</v>
      </c>
      <c r="F294">
        <v>36.85</v>
      </c>
      <c r="G294">
        <v>5</v>
      </c>
      <c r="H294">
        <v>9.2125000000000004</v>
      </c>
      <c r="I294">
        <f t="shared" si="4"/>
        <v>184.25</v>
      </c>
      <c r="J294">
        <v>193.46250000000001</v>
      </c>
    </row>
    <row r="295" spans="1:10" x14ac:dyDescent="0.35">
      <c r="A295" t="s">
        <v>10</v>
      </c>
      <c r="B295" t="s">
        <v>11</v>
      </c>
      <c r="C295" t="s">
        <v>12</v>
      </c>
      <c r="D295" t="s">
        <v>13</v>
      </c>
      <c r="E295" t="s">
        <v>19</v>
      </c>
      <c r="F295">
        <v>70.319999999999993</v>
      </c>
      <c r="G295">
        <v>2</v>
      </c>
      <c r="H295">
        <v>7.032</v>
      </c>
      <c r="I295">
        <f t="shared" si="4"/>
        <v>140.63999999999999</v>
      </c>
      <c r="J295">
        <v>147.672</v>
      </c>
    </row>
    <row r="296" spans="1:10" x14ac:dyDescent="0.35">
      <c r="A296" t="s">
        <v>10</v>
      </c>
      <c r="B296" t="s">
        <v>15</v>
      </c>
      <c r="C296" t="s">
        <v>16</v>
      </c>
      <c r="D296" t="s">
        <v>17</v>
      </c>
      <c r="E296" t="s">
        <v>23</v>
      </c>
      <c r="F296">
        <v>64.989999999999995</v>
      </c>
      <c r="G296">
        <v>1</v>
      </c>
      <c r="H296">
        <v>3.2494999999999998</v>
      </c>
      <c r="I296">
        <f t="shared" si="4"/>
        <v>64.989999999999995</v>
      </c>
      <c r="J296">
        <v>68.239499999999992</v>
      </c>
    </row>
    <row r="297" spans="1:10" x14ac:dyDescent="0.35">
      <c r="A297" t="s">
        <v>10</v>
      </c>
      <c r="B297" t="s">
        <v>20</v>
      </c>
      <c r="C297" t="s">
        <v>21</v>
      </c>
      <c r="D297" t="s">
        <v>17</v>
      </c>
      <c r="E297" t="s">
        <v>24</v>
      </c>
      <c r="F297">
        <v>54.51</v>
      </c>
      <c r="G297">
        <v>6</v>
      </c>
      <c r="H297">
        <v>16.353000000000002</v>
      </c>
      <c r="I297">
        <f t="shared" si="4"/>
        <v>327.06</v>
      </c>
      <c r="J297">
        <v>343.41300000000001</v>
      </c>
    </row>
    <row r="298" spans="1:10" x14ac:dyDescent="0.35">
      <c r="A298" t="s">
        <v>10</v>
      </c>
      <c r="B298" t="s">
        <v>15</v>
      </c>
      <c r="C298" t="s">
        <v>16</v>
      </c>
      <c r="D298" t="s">
        <v>13</v>
      </c>
      <c r="E298" t="s">
        <v>23</v>
      </c>
      <c r="F298">
        <v>51.89</v>
      </c>
      <c r="G298">
        <v>7</v>
      </c>
      <c r="H298">
        <v>181.61500000000001</v>
      </c>
      <c r="I298">
        <f t="shared" si="4"/>
        <v>363.23</v>
      </c>
      <c r="J298">
        <v>544.84500000000003</v>
      </c>
    </row>
    <row r="299" spans="1:10" x14ac:dyDescent="0.35">
      <c r="A299" t="s">
        <v>10</v>
      </c>
      <c r="B299" t="s">
        <v>11</v>
      </c>
      <c r="C299" t="s">
        <v>12</v>
      </c>
      <c r="D299" t="s">
        <v>13</v>
      </c>
      <c r="E299" t="s">
        <v>23</v>
      </c>
      <c r="F299">
        <v>53.65</v>
      </c>
      <c r="G299">
        <v>7</v>
      </c>
      <c r="H299">
        <v>187.77500000000001</v>
      </c>
      <c r="I299">
        <f t="shared" si="4"/>
        <v>375.55</v>
      </c>
      <c r="J299">
        <v>563.32500000000005</v>
      </c>
    </row>
    <row r="300" spans="1:10" x14ac:dyDescent="0.35">
      <c r="A300" t="s">
        <v>10</v>
      </c>
      <c r="B300" t="s">
        <v>15</v>
      </c>
      <c r="C300" t="s">
        <v>16</v>
      </c>
      <c r="D300" t="s">
        <v>13</v>
      </c>
      <c r="E300" t="s">
        <v>22</v>
      </c>
      <c r="F300">
        <v>49.79</v>
      </c>
      <c r="G300">
        <v>4</v>
      </c>
      <c r="H300">
        <v>9.9580000000000002</v>
      </c>
      <c r="I300">
        <f t="shared" si="4"/>
        <v>199.16</v>
      </c>
      <c r="J300">
        <v>209.11799999999999</v>
      </c>
    </row>
    <row r="301" spans="1:10" x14ac:dyDescent="0.35">
      <c r="A301" t="s">
        <v>10</v>
      </c>
      <c r="B301" t="s">
        <v>11</v>
      </c>
      <c r="C301" t="s">
        <v>12</v>
      </c>
      <c r="D301" t="s">
        <v>17</v>
      </c>
      <c r="E301" t="s">
        <v>18</v>
      </c>
      <c r="F301">
        <v>28.96</v>
      </c>
      <c r="G301">
        <v>1</v>
      </c>
      <c r="H301">
        <v>1.448</v>
      </c>
      <c r="I301">
        <f t="shared" si="4"/>
        <v>28.96</v>
      </c>
      <c r="J301">
        <v>30.408000000000001</v>
      </c>
    </row>
    <row r="302" spans="1:10" x14ac:dyDescent="0.35">
      <c r="A302" t="s">
        <v>10</v>
      </c>
      <c r="B302" t="s">
        <v>15</v>
      </c>
      <c r="C302" t="s">
        <v>16</v>
      </c>
      <c r="D302" t="s">
        <v>13</v>
      </c>
      <c r="E302" t="s">
        <v>22</v>
      </c>
      <c r="F302">
        <v>98.97</v>
      </c>
      <c r="G302">
        <v>9</v>
      </c>
      <c r="H302">
        <v>445.36500000000001</v>
      </c>
      <c r="I302">
        <f t="shared" si="4"/>
        <v>890.73</v>
      </c>
      <c r="J302">
        <v>1336.095</v>
      </c>
    </row>
    <row r="303" spans="1:10" x14ac:dyDescent="0.35">
      <c r="A303" t="s">
        <v>10</v>
      </c>
      <c r="B303" t="s">
        <v>11</v>
      </c>
      <c r="C303" t="s">
        <v>12</v>
      </c>
      <c r="D303" t="s">
        <v>13</v>
      </c>
      <c r="E303" t="s">
        <v>24</v>
      </c>
      <c r="F303">
        <v>38.72</v>
      </c>
      <c r="G303">
        <v>9</v>
      </c>
      <c r="H303">
        <v>17.423999999999999</v>
      </c>
      <c r="I303">
        <f t="shared" si="4"/>
        <v>348.48</v>
      </c>
      <c r="J303">
        <v>365.904</v>
      </c>
    </row>
    <row r="304" spans="1:10" x14ac:dyDescent="0.35">
      <c r="A304" t="s">
        <v>10</v>
      </c>
      <c r="B304" t="s">
        <v>15</v>
      </c>
      <c r="C304" t="s">
        <v>16</v>
      </c>
      <c r="D304" t="s">
        <v>13</v>
      </c>
      <c r="E304" t="s">
        <v>23</v>
      </c>
      <c r="F304">
        <v>43.46</v>
      </c>
      <c r="G304">
        <v>6</v>
      </c>
      <c r="H304">
        <v>13.038</v>
      </c>
      <c r="I304">
        <f t="shared" si="4"/>
        <v>260.76</v>
      </c>
      <c r="J304">
        <v>273.798</v>
      </c>
    </row>
    <row r="305" spans="1:10" x14ac:dyDescent="0.35">
      <c r="A305" t="s">
        <v>10</v>
      </c>
      <c r="B305" t="s">
        <v>11</v>
      </c>
      <c r="C305" t="s">
        <v>12</v>
      </c>
      <c r="D305" t="s">
        <v>17</v>
      </c>
      <c r="E305" t="s">
        <v>22</v>
      </c>
      <c r="F305">
        <v>71.680000000000007</v>
      </c>
      <c r="G305">
        <v>3</v>
      </c>
      <c r="H305">
        <v>10.752000000000001</v>
      </c>
      <c r="I305">
        <f t="shared" si="4"/>
        <v>215.04000000000002</v>
      </c>
      <c r="J305">
        <v>225.79200000000003</v>
      </c>
    </row>
    <row r="306" spans="1:10" x14ac:dyDescent="0.35">
      <c r="A306" t="s">
        <v>10</v>
      </c>
      <c r="B306" t="s">
        <v>11</v>
      </c>
      <c r="C306" t="s">
        <v>12</v>
      </c>
      <c r="D306" t="s">
        <v>13</v>
      </c>
      <c r="E306" t="s">
        <v>22</v>
      </c>
      <c r="F306">
        <v>91.61</v>
      </c>
      <c r="G306">
        <v>1</v>
      </c>
      <c r="H306">
        <v>4.5804999999999998</v>
      </c>
      <c r="I306">
        <f t="shared" si="4"/>
        <v>91.61</v>
      </c>
      <c r="J306">
        <v>96.1905</v>
      </c>
    </row>
    <row r="307" spans="1:10" x14ac:dyDescent="0.35">
      <c r="A307" t="s">
        <v>10</v>
      </c>
      <c r="B307" t="s">
        <v>20</v>
      </c>
      <c r="C307" t="s">
        <v>21</v>
      </c>
      <c r="D307" t="s">
        <v>13</v>
      </c>
      <c r="E307" t="s">
        <v>19</v>
      </c>
      <c r="F307">
        <v>94.59</v>
      </c>
      <c r="G307">
        <v>7</v>
      </c>
      <c r="H307">
        <v>331.065</v>
      </c>
      <c r="I307">
        <f t="shared" si="4"/>
        <v>662.13</v>
      </c>
      <c r="J307">
        <v>993.19499999999994</v>
      </c>
    </row>
    <row r="308" spans="1:10" x14ac:dyDescent="0.35">
      <c r="A308" t="s">
        <v>10</v>
      </c>
      <c r="B308" t="s">
        <v>20</v>
      </c>
      <c r="C308" t="s">
        <v>21</v>
      </c>
      <c r="D308" t="s">
        <v>17</v>
      </c>
      <c r="E308" t="s">
        <v>23</v>
      </c>
      <c r="F308">
        <v>83.25</v>
      </c>
      <c r="G308">
        <v>10</v>
      </c>
      <c r="H308">
        <v>41.625</v>
      </c>
      <c r="I308">
        <f t="shared" si="4"/>
        <v>832.5</v>
      </c>
      <c r="J308">
        <v>874.125</v>
      </c>
    </row>
    <row r="309" spans="1:10" x14ac:dyDescent="0.35">
      <c r="A309" t="s">
        <v>10</v>
      </c>
      <c r="B309" t="s">
        <v>20</v>
      </c>
      <c r="C309" t="s">
        <v>21</v>
      </c>
      <c r="D309" t="s">
        <v>13</v>
      </c>
      <c r="E309" t="s">
        <v>22</v>
      </c>
      <c r="F309">
        <v>78.88</v>
      </c>
      <c r="G309">
        <v>2</v>
      </c>
      <c r="H309">
        <v>7.8879999999999999</v>
      </c>
      <c r="I309">
        <f t="shared" si="4"/>
        <v>157.76</v>
      </c>
      <c r="J309">
        <v>165.648</v>
      </c>
    </row>
    <row r="310" spans="1:10" x14ac:dyDescent="0.35">
      <c r="A310" t="s">
        <v>10</v>
      </c>
      <c r="B310" t="s">
        <v>11</v>
      </c>
      <c r="C310" t="s">
        <v>12</v>
      </c>
      <c r="D310" t="s">
        <v>17</v>
      </c>
      <c r="E310" t="s">
        <v>23</v>
      </c>
      <c r="F310">
        <v>12.09</v>
      </c>
      <c r="G310">
        <v>1</v>
      </c>
      <c r="H310">
        <v>6.0449999999999999</v>
      </c>
      <c r="I310">
        <f t="shared" si="4"/>
        <v>12.09</v>
      </c>
      <c r="J310">
        <v>18.134999999999998</v>
      </c>
    </row>
    <row r="311" spans="1:10" x14ac:dyDescent="0.35">
      <c r="A311" t="s">
        <v>10</v>
      </c>
      <c r="B311" t="s">
        <v>15</v>
      </c>
      <c r="C311" t="s">
        <v>16</v>
      </c>
      <c r="D311" t="s">
        <v>17</v>
      </c>
      <c r="E311" t="s">
        <v>18</v>
      </c>
      <c r="F311">
        <v>46.2</v>
      </c>
      <c r="G311">
        <v>1</v>
      </c>
      <c r="H311">
        <v>2.31</v>
      </c>
      <c r="I311">
        <f t="shared" si="4"/>
        <v>46.2</v>
      </c>
      <c r="J311">
        <v>48.510000000000005</v>
      </c>
    </row>
    <row r="312" spans="1:10" x14ac:dyDescent="0.35">
      <c r="A312" t="s">
        <v>10</v>
      </c>
      <c r="B312" t="s">
        <v>20</v>
      </c>
      <c r="C312" t="s">
        <v>21</v>
      </c>
      <c r="D312" t="s">
        <v>13</v>
      </c>
      <c r="E312" t="s">
        <v>22</v>
      </c>
      <c r="F312">
        <v>17.63</v>
      </c>
      <c r="G312">
        <v>5</v>
      </c>
      <c r="H312">
        <v>4.4074999999999998</v>
      </c>
      <c r="I312">
        <f t="shared" si="4"/>
        <v>88.149999999999991</v>
      </c>
      <c r="J312">
        <v>92.55749999999999</v>
      </c>
    </row>
    <row r="313" spans="1:10" x14ac:dyDescent="0.35">
      <c r="A313" t="s">
        <v>10</v>
      </c>
      <c r="B313" t="s">
        <v>20</v>
      </c>
      <c r="C313" t="s">
        <v>21</v>
      </c>
      <c r="D313" t="s">
        <v>13</v>
      </c>
      <c r="E313" t="s">
        <v>22</v>
      </c>
      <c r="F313">
        <v>98.79</v>
      </c>
      <c r="G313">
        <v>3</v>
      </c>
      <c r="H313">
        <v>148.185</v>
      </c>
      <c r="I313">
        <f t="shared" si="4"/>
        <v>296.37</v>
      </c>
      <c r="J313">
        <v>444.55500000000001</v>
      </c>
    </row>
    <row r="314" spans="1:10" x14ac:dyDescent="0.35">
      <c r="A314" t="s">
        <v>10</v>
      </c>
      <c r="B314" t="s">
        <v>15</v>
      </c>
      <c r="C314" t="s">
        <v>16</v>
      </c>
      <c r="D314" t="s">
        <v>13</v>
      </c>
      <c r="E314" t="s">
        <v>18</v>
      </c>
      <c r="F314">
        <v>88.55</v>
      </c>
      <c r="G314">
        <v>8</v>
      </c>
      <c r="H314">
        <v>35.42</v>
      </c>
      <c r="I314">
        <f t="shared" si="4"/>
        <v>708.4</v>
      </c>
      <c r="J314">
        <v>743.81999999999994</v>
      </c>
    </row>
    <row r="315" spans="1:10" x14ac:dyDescent="0.35">
      <c r="A315" t="s">
        <v>10</v>
      </c>
      <c r="B315" t="s">
        <v>15</v>
      </c>
      <c r="C315" t="s">
        <v>16</v>
      </c>
      <c r="D315" t="s">
        <v>13</v>
      </c>
      <c r="E315" t="s">
        <v>22</v>
      </c>
      <c r="F315">
        <v>72.52</v>
      </c>
      <c r="G315">
        <v>8</v>
      </c>
      <c r="H315">
        <v>29.007999999999999</v>
      </c>
      <c r="I315">
        <f t="shared" si="4"/>
        <v>580.16</v>
      </c>
      <c r="J315">
        <v>609.16800000000001</v>
      </c>
    </row>
    <row r="316" spans="1:10" x14ac:dyDescent="0.35">
      <c r="A316" t="s">
        <v>10</v>
      </c>
      <c r="B316" t="s">
        <v>15</v>
      </c>
      <c r="C316" t="s">
        <v>16</v>
      </c>
      <c r="D316" t="s">
        <v>13</v>
      </c>
      <c r="E316" t="s">
        <v>24</v>
      </c>
      <c r="F316">
        <v>15.49</v>
      </c>
      <c r="G316">
        <v>2</v>
      </c>
      <c r="H316">
        <v>1.5489999999999999</v>
      </c>
      <c r="I316">
        <f t="shared" si="4"/>
        <v>30.98</v>
      </c>
      <c r="J316">
        <v>32.529000000000003</v>
      </c>
    </row>
    <row r="317" spans="1:10" x14ac:dyDescent="0.35">
      <c r="A317" t="s">
        <v>10</v>
      </c>
      <c r="B317" t="s">
        <v>20</v>
      </c>
      <c r="C317" t="s">
        <v>21</v>
      </c>
      <c r="D317" t="s">
        <v>17</v>
      </c>
      <c r="E317" t="s">
        <v>14</v>
      </c>
      <c r="F317">
        <v>55.81</v>
      </c>
      <c r="G317">
        <v>6</v>
      </c>
      <c r="H317">
        <v>16.742999999999999</v>
      </c>
      <c r="I317">
        <f t="shared" si="4"/>
        <v>334.86</v>
      </c>
      <c r="J317">
        <v>351.60300000000001</v>
      </c>
    </row>
    <row r="318" spans="1:10" x14ac:dyDescent="0.35">
      <c r="A318" t="s">
        <v>10</v>
      </c>
      <c r="B318" t="s">
        <v>11</v>
      </c>
      <c r="C318" t="s">
        <v>12</v>
      </c>
      <c r="D318" t="s">
        <v>17</v>
      </c>
      <c r="E318" t="s">
        <v>18</v>
      </c>
      <c r="F318">
        <v>15.69</v>
      </c>
      <c r="G318">
        <v>3</v>
      </c>
      <c r="H318">
        <v>2.3534999999999999</v>
      </c>
      <c r="I318">
        <f t="shared" si="4"/>
        <v>47.07</v>
      </c>
      <c r="J318">
        <v>49.423499999999997</v>
      </c>
    </row>
    <row r="319" spans="1:10" x14ac:dyDescent="0.35">
      <c r="A319" t="s">
        <v>10</v>
      </c>
      <c r="B319" t="s">
        <v>15</v>
      </c>
      <c r="C319" t="s">
        <v>16</v>
      </c>
      <c r="D319" t="s">
        <v>17</v>
      </c>
      <c r="E319" t="s">
        <v>18</v>
      </c>
      <c r="F319">
        <v>99.69</v>
      </c>
      <c r="G319">
        <v>1</v>
      </c>
      <c r="H319">
        <v>4.9844999999999997</v>
      </c>
      <c r="I319">
        <f t="shared" si="4"/>
        <v>99.69</v>
      </c>
      <c r="J319">
        <v>104.67449999999999</v>
      </c>
    </row>
    <row r="320" spans="1:10" x14ac:dyDescent="0.35">
      <c r="A320" t="s">
        <v>10</v>
      </c>
      <c r="B320" t="s">
        <v>11</v>
      </c>
      <c r="C320" t="s">
        <v>12</v>
      </c>
      <c r="D320" t="s">
        <v>13</v>
      </c>
      <c r="E320" t="s">
        <v>23</v>
      </c>
      <c r="F320">
        <v>88.15</v>
      </c>
      <c r="G320">
        <v>3</v>
      </c>
      <c r="H320">
        <v>132.22499999999999</v>
      </c>
      <c r="I320">
        <f t="shared" si="4"/>
        <v>264.45000000000005</v>
      </c>
      <c r="J320">
        <v>396.67500000000007</v>
      </c>
    </row>
    <row r="321" spans="1:10" x14ac:dyDescent="0.35">
      <c r="A321" t="s">
        <v>10</v>
      </c>
      <c r="B321" t="s">
        <v>11</v>
      </c>
      <c r="C321" t="s">
        <v>12</v>
      </c>
      <c r="D321" t="s">
        <v>13</v>
      </c>
      <c r="E321" t="s">
        <v>24</v>
      </c>
      <c r="F321">
        <v>27.93</v>
      </c>
      <c r="G321">
        <v>5</v>
      </c>
      <c r="H321">
        <v>6.9824999999999999</v>
      </c>
      <c r="I321">
        <f t="shared" si="4"/>
        <v>139.65</v>
      </c>
      <c r="J321">
        <v>146.63249999999999</v>
      </c>
    </row>
    <row r="322" spans="1:10" x14ac:dyDescent="0.35">
      <c r="A322" t="s">
        <v>10</v>
      </c>
      <c r="B322" t="s">
        <v>20</v>
      </c>
      <c r="C322" t="s">
        <v>21</v>
      </c>
      <c r="D322" t="s">
        <v>17</v>
      </c>
      <c r="E322" t="s">
        <v>24</v>
      </c>
      <c r="F322">
        <v>42.97</v>
      </c>
      <c r="G322">
        <v>3</v>
      </c>
      <c r="H322">
        <v>6.4455</v>
      </c>
      <c r="I322">
        <f t="shared" si="4"/>
        <v>128.91</v>
      </c>
      <c r="J322">
        <v>135.35550000000001</v>
      </c>
    </row>
    <row r="323" spans="1:10" x14ac:dyDescent="0.35">
      <c r="A323" t="s">
        <v>10</v>
      </c>
      <c r="B323" t="s">
        <v>20</v>
      </c>
      <c r="C323" t="s">
        <v>21</v>
      </c>
      <c r="D323" t="s">
        <v>13</v>
      </c>
      <c r="E323" t="s">
        <v>23</v>
      </c>
      <c r="F323">
        <v>58.75</v>
      </c>
      <c r="G323">
        <v>6</v>
      </c>
      <c r="H323">
        <v>17.625</v>
      </c>
      <c r="I323">
        <f t="shared" ref="I323:I386" si="5">F323*G323</f>
        <v>352.5</v>
      </c>
      <c r="J323">
        <v>370.125</v>
      </c>
    </row>
    <row r="324" spans="1:10" x14ac:dyDescent="0.35">
      <c r="A324" t="s">
        <v>10</v>
      </c>
      <c r="B324" t="s">
        <v>15</v>
      </c>
      <c r="C324" t="s">
        <v>16</v>
      </c>
      <c r="D324" t="s">
        <v>13</v>
      </c>
      <c r="E324" t="s">
        <v>22</v>
      </c>
      <c r="F324">
        <v>87.1</v>
      </c>
      <c r="G324">
        <v>10</v>
      </c>
      <c r="H324">
        <v>43.55</v>
      </c>
      <c r="I324">
        <f t="shared" si="5"/>
        <v>871</v>
      </c>
      <c r="J324">
        <v>914.55</v>
      </c>
    </row>
    <row r="325" spans="1:10" x14ac:dyDescent="0.35">
      <c r="A325" t="s">
        <v>10</v>
      </c>
      <c r="B325" t="s">
        <v>15</v>
      </c>
      <c r="C325" t="s">
        <v>16</v>
      </c>
      <c r="D325" t="s">
        <v>17</v>
      </c>
      <c r="E325" t="s">
        <v>24</v>
      </c>
      <c r="F325">
        <v>98.8</v>
      </c>
      <c r="G325">
        <v>2</v>
      </c>
      <c r="H325">
        <v>9.8800000000000008</v>
      </c>
      <c r="I325">
        <f t="shared" si="5"/>
        <v>197.6</v>
      </c>
      <c r="J325">
        <v>207.48</v>
      </c>
    </row>
    <row r="326" spans="1:10" x14ac:dyDescent="0.35">
      <c r="A326" t="s">
        <v>10</v>
      </c>
      <c r="B326" t="s">
        <v>11</v>
      </c>
      <c r="C326" t="s">
        <v>12</v>
      </c>
      <c r="D326" t="s">
        <v>17</v>
      </c>
      <c r="E326" t="s">
        <v>23</v>
      </c>
      <c r="F326">
        <v>48.63</v>
      </c>
      <c r="G326">
        <v>4</v>
      </c>
      <c r="H326">
        <v>9.7260000000000009</v>
      </c>
      <c r="I326">
        <f t="shared" si="5"/>
        <v>194.52</v>
      </c>
      <c r="J326">
        <v>204.24600000000001</v>
      </c>
    </row>
    <row r="327" spans="1:10" x14ac:dyDescent="0.35">
      <c r="A327" t="s">
        <v>10</v>
      </c>
      <c r="B327" t="s">
        <v>20</v>
      </c>
      <c r="C327" t="s">
        <v>21</v>
      </c>
      <c r="D327" t="s">
        <v>17</v>
      </c>
      <c r="E327" t="s">
        <v>14</v>
      </c>
      <c r="F327">
        <v>17.97</v>
      </c>
      <c r="G327">
        <v>4</v>
      </c>
      <c r="H327">
        <v>3.5939999999999999</v>
      </c>
      <c r="I327">
        <f t="shared" si="5"/>
        <v>71.88</v>
      </c>
      <c r="J327">
        <v>75.47399999999999</v>
      </c>
    </row>
    <row r="328" spans="1:10" x14ac:dyDescent="0.35">
      <c r="A328" t="s">
        <v>10</v>
      </c>
      <c r="B328" t="s">
        <v>15</v>
      </c>
      <c r="C328" t="s">
        <v>16</v>
      </c>
      <c r="D328" t="s">
        <v>13</v>
      </c>
      <c r="E328" t="s">
        <v>14</v>
      </c>
      <c r="F328">
        <v>47.71</v>
      </c>
      <c r="G328">
        <v>6</v>
      </c>
      <c r="H328">
        <v>14.313000000000001</v>
      </c>
      <c r="I328">
        <f t="shared" si="5"/>
        <v>286.26</v>
      </c>
      <c r="J328">
        <v>300.57299999999998</v>
      </c>
    </row>
    <row r="329" spans="1:10" x14ac:dyDescent="0.35">
      <c r="A329" t="s">
        <v>10</v>
      </c>
      <c r="B329" t="s">
        <v>20</v>
      </c>
      <c r="C329" t="s">
        <v>21</v>
      </c>
      <c r="D329" t="s">
        <v>17</v>
      </c>
      <c r="E329" t="s">
        <v>24</v>
      </c>
      <c r="F329">
        <v>40.619999999999997</v>
      </c>
      <c r="G329">
        <v>2</v>
      </c>
      <c r="H329">
        <v>4.0620000000000003</v>
      </c>
      <c r="I329">
        <f t="shared" si="5"/>
        <v>81.239999999999995</v>
      </c>
      <c r="J329">
        <v>85.301999999999992</v>
      </c>
    </row>
    <row r="330" spans="1:10" x14ac:dyDescent="0.35">
      <c r="A330" t="s">
        <v>10</v>
      </c>
      <c r="B330" t="s">
        <v>20</v>
      </c>
      <c r="C330" t="s">
        <v>21</v>
      </c>
      <c r="D330" t="s">
        <v>17</v>
      </c>
      <c r="E330" t="s">
        <v>14</v>
      </c>
      <c r="F330">
        <v>73.41</v>
      </c>
      <c r="G330">
        <v>3</v>
      </c>
      <c r="H330">
        <v>11.0115</v>
      </c>
      <c r="I330">
        <f t="shared" si="5"/>
        <v>220.23</v>
      </c>
      <c r="J330">
        <v>231.2415</v>
      </c>
    </row>
    <row r="331" spans="1:10" x14ac:dyDescent="0.35">
      <c r="A331" t="s">
        <v>10</v>
      </c>
      <c r="B331" t="s">
        <v>11</v>
      </c>
      <c r="C331" t="s">
        <v>12</v>
      </c>
      <c r="D331" t="s">
        <v>17</v>
      </c>
      <c r="E331" t="s">
        <v>18</v>
      </c>
      <c r="F331">
        <v>45.48</v>
      </c>
      <c r="G331">
        <v>10</v>
      </c>
      <c r="H331">
        <v>22.74</v>
      </c>
      <c r="I331">
        <f t="shared" si="5"/>
        <v>454.79999999999995</v>
      </c>
      <c r="J331">
        <v>477.53999999999996</v>
      </c>
    </row>
    <row r="332" spans="1:10" x14ac:dyDescent="0.35">
      <c r="A332" t="s">
        <v>10</v>
      </c>
      <c r="B332" t="s">
        <v>20</v>
      </c>
      <c r="C332" t="s">
        <v>21</v>
      </c>
      <c r="D332" t="s">
        <v>13</v>
      </c>
      <c r="E332" t="s">
        <v>24</v>
      </c>
      <c r="F332">
        <v>64.08</v>
      </c>
      <c r="G332">
        <v>7</v>
      </c>
      <c r="H332">
        <v>22.428000000000001</v>
      </c>
      <c r="I332">
        <f t="shared" si="5"/>
        <v>448.56</v>
      </c>
      <c r="J332">
        <v>470.988</v>
      </c>
    </row>
    <row r="333" spans="1:10" x14ac:dyDescent="0.35">
      <c r="A333" t="s">
        <v>10</v>
      </c>
      <c r="B333" t="s">
        <v>11</v>
      </c>
      <c r="C333" t="s">
        <v>12</v>
      </c>
      <c r="D333" t="s">
        <v>13</v>
      </c>
      <c r="E333" t="s">
        <v>22</v>
      </c>
      <c r="F333">
        <v>73.47</v>
      </c>
      <c r="G333">
        <v>4</v>
      </c>
      <c r="H333">
        <v>14.694000000000001</v>
      </c>
      <c r="I333">
        <f t="shared" si="5"/>
        <v>293.88</v>
      </c>
      <c r="J333">
        <v>308.57400000000001</v>
      </c>
    </row>
    <row r="334" spans="1:10" x14ac:dyDescent="0.35">
      <c r="A334" t="s">
        <v>10</v>
      </c>
      <c r="B334" t="s">
        <v>20</v>
      </c>
      <c r="C334" t="s">
        <v>21</v>
      </c>
      <c r="D334" t="s">
        <v>13</v>
      </c>
      <c r="E334" t="s">
        <v>18</v>
      </c>
      <c r="F334">
        <v>39.479999999999997</v>
      </c>
      <c r="G334">
        <v>1</v>
      </c>
      <c r="H334">
        <v>1.974</v>
      </c>
      <c r="I334">
        <f t="shared" si="5"/>
        <v>39.479999999999997</v>
      </c>
      <c r="J334">
        <v>41.453999999999994</v>
      </c>
    </row>
    <row r="335" spans="1:10" x14ac:dyDescent="0.35">
      <c r="A335" t="s">
        <v>10</v>
      </c>
      <c r="B335" t="s">
        <v>20</v>
      </c>
      <c r="C335" t="s">
        <v>21</v>
      </c>
      <c r="D335" t="s">
        <v>17</v>
      </c>
      <c r="E335" t="s">
        <v>24</v>
      </c>
      <c r="F335">
        <v>34.81</v>
      </c>
      <c r="G335">
        <v>1</v>
      </c>
      <c r="H335">
        <v>1.7404999999999999</v>
      </c>
      <c r="I335">
        <f t="shared" si="5"/>
        <v>34.81</v>
      </c>
      <c r="J335">
        <v>36.5505</v>
      </c>
    </row>
    <row r="336" spans="1:10" x14ac:dyDescent="0.35">
      <c r="A336" t="s">
        <v>10</v>
      </c>
      <c r="B336" t="s">
        <v>15</v>
      </c>
      <c r="C336" t="s">
        <v>16</v>
      </c>
      <c r="D336" t="s">
        <v>17</v>
      </c>
      <c r="E336" t="s">
        <v>23</v>
      </c>
      <c r="F336">
        <v>49.32</v>
      </c>
      <c r="G336">
        <v>6</v>
      </c>
      <c r="H336">
        <v>14.795999999999999</v>
      </c>
      <c r="I336">
        <f t="shared" si="5"/>
        <v>295.92</v>
      </c>
      <c r="J336">
        <v>310.71600000000001</v>
      </c>
    </row>
    <row r="337" spans="1:10" x14ac:dyDescent="0.35">
      <c r="A337" t="s">
        <v>10</v>
      </c>
      <c r="B337" t="s">
        <v>20</v>
      </c>
      <c r="C337" t="s">
        <v>21</v>
      </c>
      <c r="D337" t="s">
        <v>13</v>
      </c>
      <c r="E337" t="s">
        <v>24</v>
      </c>
      <c r="F337">
        <v>23.08</v>
      </c>
      <c r="G337">
        <v>6</v>
      </c>
      <c r="H337">
        <v>6.9240000000000004</v>
      </c>
      <c r="I337">
        <f t="shared" si="5"/>
        <v>138.47999999999999</v>
      </c>
      <c r="J337">
        <v>145.404</v>
      </c>
    </row>
    <row r="338" spans="1:10" x14ac:dyDescent="0.35">
      <c r="A338" t="s">
        <v>10</v>
      </c>
      <c r="B338" t="s">
        <v>20</v>
      </c>
      <c r="C338" t="s">
        <v>21</v>
      </c>
      <c r="D338" t="s">
        <v>13</v>
      </c>
      <c r="E338" t="s">
        <v>19</v>
      </c>
      <c r="F338">
        <v>49.1</v>
      </c>
      <c r="G338">
        <v>2</v>
      </c>
      <c r="H338">
        <v>4.91</v>
      </c>
      <c r="I338">
        <f t="shared" si="5"/>
        <v>98.2</v>
      </c>
      <c r="J338">
        <v>103.11</v>
      </c>
    </row>
    <row r="339" spans="1:10" x14ac:dyDescent="0.35">
      <c r="A339" t="s">
        <v>10</v>
      </c>
      <c r="B339" t="s">
        <v>20</v>
      </c>
      <c r="C339" t="s">
        <v>21</v>
      </c>
      <c r="D339" t="s">
        <v>13</v>
      </c>
      <c r="E339" t="s">
        <v>24</v>
      </c>
      <c r="F339">
        <v>64.83</v>
      </c>
      <c r="G339">
        <v>2</v>
      </c>
      <c r="H339">
        <v>6.4829999999999997</v>
      </c>
      <c r="I339">
        <f t="shared" si="5"/>
        <v>129.66</v>
      </c>
      <c r="J339">
        <v>136.143</v>
      </c>
    </row>
    <row r="340" spans="1:10" x14ac:dyDescent="0.35">
      <c r="A340" t="s">
        <v>10</v>
      </c>
      <c r="B340" t="s">
        <v>11</v>
      </c>
      <c r="C340" t="s">
        <v>12</v>
      </c>
      <c r="D340" t="s">
        <v>17</v>
      </c>
      <c r="E340" t="s">
        <v>22</v>
      </c>
      <c r="F340">
        <v>67.099999999999994</v>
      </c>
      <c r="G340">
        <v>3</v>
      </c>
      <c r="H340">
        <v>10.065</v>
      </c>
      <c r="I340">
        <f t="shared" si="5"/>
        <v>201.29999999999998</v>
      </c>
      <c r="J340">
        <v>211.36499999999998</v>
      </c>
    </row>
    <row r="341" spans="1:10" x14ac:dyDescent="0.35">
      <c r="A341" t="s">
        <v>10</v>
      </c>
      <c r="B341" t="s">
        <v>15</v>
      </c>
      <c r="C341" t="s">
        <v>16</v>
      </c>
      <c r="D341" t="s">
        <v>13</v>
      </c>
      <c r="E341" t="s">
        <v>24</v>
      </c>
      <c r="F341">
        <v>70.19</v>
      </c>
      <c r="G341">
        <v>9</v>
      </c>
      <c r="H341">
        <v>315.85500000000002</v>
      </c>
      <c r="I341">
        <f t="shared" si="5"/>
        <v>631.71</v>
      </c>
      <c r="J341">
        <v>947.56500000000005</v>
      </c>
    </row>
    <row r="342" spans="1:10" x14ac:dyDescent="0.35">
      <c r="A342" t="s">
        <v>10</v>
      </c>
      <c r="B342" t="s">
        <v>15</v>
      </c>
      <c r="C342" t="s">
        <v>16</v>
      </c>
      <c r="D342" t="s">
        <v>13</v>
      </c>
      <c r="E342" t="s">
        <v>23</v>
      </c>
      <c r="F342">
        <v>73.38</v>
      </c>
      <c r="G342">
        <v>7</v>
      </c>
      <c r="H342">
        <v>25.683</v>
      </c>
      <c r="I342">
        <f t="shared" si="5"/>
        <v>513.66</v>
      </c>
      <c r="J342">
        <v>539.34299999999996</v>
      </c>
    </row>
    <row r="343" spans="1:10" x14ac:dyDescent="0.35">
      <c r="A343" t="s">
        <v>10</v>
      </c>
      <c r="B343" t="s">
        <v>15</v>
      </c>
      <c r="C343" t="s">
        <v>16</v>
      </c>
      <c r="D343" t="s">
        <v>17</v>
      </c>
      <c r="E343" t="s">
        <v>22</v>
      </c>
      <c r="F343">
        <v>52.6</v>
      </c>
      <c r="G343">
        <v>9</v>
      </c>
      <c r="H343">
        <v>23.67</v>
      </c>
      <c r="I343">
        <f t="shared" si="5"/>
        <v>473.40000000000003</v>
      </c>
      <c r="J343">
        <v>497.07000000000005</v>
      </c>
    </row>
    <row r="344" spans="1:10" x14ac:dyDescent="0.35">
      <c r="A344" t="s">
        <v>10</v>
      </c>
      <c r="B344" t="s">
        <v>11</v>
      </c>
      <c r="C344" t="s">
        <v>12</v>
      </c>
      <c r="D344" t="s">
        <v>13</v>
      </c>
      <c r="E344" t="s">
        <v>19</v>
      </c>
      <c r="F344">
        <v>87.37</v>
      </c>
      <c r="G344">
        <v>5</v>
      </c>
      <c r="H344">
        <v>218.42500000000001</v>
      </c>
      <c r="I344">
        <f t="shared" si="5"/>
        <v>436.85</v>
      </c>
      <c r="J344">
        <v>655.27500000000009</v>
      </c>
    </row>
    <row r="345" spans="1:10" x14ac:dyDescent="0.35">
      <c r="A345" t="s">
        <v>10</v>
      </c>
      <c r="B345" t="s">
        <v>11</v>
      </c>
      <c r="C345" t="s">
        <v>12</v>
      </c>
      <c r="D345" t="s">
        <v>13</v>
      </c>
      <c r="E345" t="s">
        <v>24</v>
      </c>
      <c r="F345">
        <v>27.04</v>
      </c>
      <c r="G345">
        <v>4</v>
      </c>
      <c r="H345">
        <v>5.4080000000000004</v>
      </c>
      <c r="I345">
        <f t="shared" si="5"/>
        <v>108.16</v>
      </c>
      <c r="J345">
        <v>113.568</v>
      </c>
    </row>
    <row r="346" spans="1:10" x14ac:dyDescent="0.35">
      <c r="A346" t="s">
        <v>10</v>
      </c>
      <c r="B346" t="s">
        <v>15</v>
      </c>
      <c r="C346" t="s">
        <v>16</v>
      </c>
      <c r="D346" t="s">
        <v>17</v>
      </c>
      <c r="E346" t="s">
        <v>23</v>
      </c>
      <c r="F346">
        <v>60.41</v>
      </c>
      <c r="G346">
        <v>8</v>
      </c>
      <c r="H346">
        <v>24.164000000000001</v>
      </c>
      <c r="I346">
        <f t="shared" si="5"/>
        <v>483.28</v>
      </c>
      <c r="J346">
        <v>507.44399999999996</v>
      </c>
    </row>
    <row r="347" spans="1:10" x14ac:dyDescent="0.35">
      <c r="A347" t="s">
        <v>10</v>
      </c>
      <c r="B347" t="s">
        <v>20</v>
      </c>
      <c r="C347" t="s">
        <v>21</v>
      </c>
      <c r="D347" t="s">
        <v>13</v>
      </c>
      <c r="E347" t="s">
        <v>23</v>
      </c>
      <c r="F347">
        <v>19.77</v>
      </c>
      <c r="G347">
        <v>10</v>
      </c>
      <c r="H347">
        <v>9.8849999999999998</v>
      </c>
      <c r="I347">
        <f t="shared" si="5"/>
        <v>197.7</v>
      </c>
      <c r="J347">
        <v>207.58499999999998</v>
      </c>
    </row>
    <row r="348" spans="1:10" x14ac:dyDescent="0.35">
      <c r="A348" t="s">
        <v>10</v>
      </c>
      <c r="B348" t="s">
        <v>20</v>
      </c>
      <c r="C348" t="s">
        <v>21</v>
      </c>
      <c r="D348" t="s">
        <v>13</v>
      </c>
      <c r="E348" t="s">
        <v>19</v>
      </c>
      <c r="F348">
        <v>88.39</v>
      </c>
      <c r="G348">
        <v>9</v>
      </c>
      <c r="H348">
        <v>397.755</v>
      </c>
      <c r="I348">
        <f t="shared" si="5"/>
        <v>795.51</v>
      </c>
      <c r="J348">
        <v>1193.2649999999999</v>
      </c>
    </row>
    <row r="349" spans="1:10" x14ac:dyDescent="0.35">
      <c r="A349" t="s">
        <v>10</v>
      </c>
      <c r="B349" t="s">
        <v>20</v>
      </c>
      <c r="C349" t="s">
        <v>21</v>
      </c>
      <c r="D349" t="s">
        <v>17</v>
      </c>
      <c r="E349" t="s">
        <v>18</v>
      </c>
      <c r="F349">
        <v>43</v>
      </c>
      <c r="G349">
        <v>4</v>
      </c>
      <c r="H349">
        <v>8.6</v>
      </c>
      <c r="I349">
        <f t="shared" si="5"/>
        <v>172</v>
      </c>
      <c r="J349">
        <v>180.6</v>
      </c>
    </row>
    <row r="350" spans="1:10" x14ac:dyDescent="0.35">
      <c r="A350" t="s">
        <v>10</v>
      </c>
      <c r="B350" t="s">
        <v>15</v>
      </c>
      <c r="C350" t="s">
        <v>16</v>
      </c>
      <c r="D350" t="s">
        <v>13</v>
      </c>
      <c r="E350" t="s">
        <v>19</v>
      </c>
      <c r="F350">
        <v>75.53</v>
      </c>
      <c r="G350">
        <v>4</v>
      </c>
      <c r="H350">
        <v>15.106</v>
      </c>
      <c r="I350">
        <f t="shared" si="5"/>
        <v>302.12</v>
      </c>
      <c r="J350">
        <v>317.226</v>
      </c>
    </row>
    <row r="351" spans="1:10" x14ac:dyDescent="0.35">
      <c r="A351" t="s">
        <v>10</v>
      </c>
      <c r="B351" t="s">
        <v>15</v>
      </c>
      <c r="C351" t="s">
        <v>16</v>
      </c>
      <c r="D351" t="s">
        <v>17</v>
      </c>
      <c r="E351" t="s">
        <v>18</v>
      </c>
      <c r="F351">
        <v>77.63</v>
      </c>
      <c r="G351">
        <v>9</v>
      </c>
      <c r="H351">
        <v>349.33499999999998</v>
      </c>
      <c r="I351">
        <f t="shared" si="5"/>
        <v>698.67</v>
      </c>
      <c r="J351">
        <v>1048.0049999999999</v>
      </c>
    </row>
    <row r="352" spans="1:10" x14ac:dyDescent="0.35">
      <c r="A352" t="s">
        <v>10</v>
      </c>
      <c r="B352" t="s">
        <v>15</v>
      </c>
      <c r="C352" t="s">
        <v>16</v>
      </c>
      <c r="D352" t="s">
        <v>17</v>
      </c>
      <c r="E352" t="s">
        <v>14</v>
      </c>
      <c r="F352">
        <v>13.85</v>
      </c>
      <c r="G352">
        <v>9</v>
      </c>
      <c r="H352">
        <v>6.2324999999999999</v>
      </c>
      <c r="I352">
        <f t="shared" si="5"/>
        <v>124.64999999999999</v>
      </c>
      <c r="J352">
        <v>130.88249999999999</v>
      </c>
    </row>
    <row r="353" spans="1:10" x14ac:dyDescent="0.35">
      <c r="A353" t="s">
        <v>10</v>
      </c>
      <c r="B353" t="s">
        <v>11</v>
      </c>
      <c r="C353" t="s">
        <v>12</v>
      </c>
      <c r="D353" t="s">
        <v>17</v>
      </c>
      <c r="E353" t="s">
        <v>14</v>
      </c>
      <c r="F353">
        <v>35.68</v>
      </c>
      <c r="G353">
        <v>5</v>
      </c>
      <c r="H353">
        <v>8.92</v>
      </c>
      <c r="I353">
        <f t="shared" si="5"/>
        <v>178.4</v>
      </c>
      <c r="J353">
        <v>187.32</v>
      </c>
    </row>
    <row r="354" spans="1:10" x14ac:dyDescent="0.35">
      <c r="A354" t="s">
        <v>10</v>
      </c>
      <c r="B354" t="s">
        <v>11</v>
      </c>
      <c r="C354" t="s">
        <v>12</v>
      </c>
      <c r="D354" t="s">
        <v>13</v>
      </c>
      <c r="E354" t="s">
        <v>23</v>
      </c>
      <c r="F354">
        <v>71.459999999999994</v>
      </c>
      <c r="G354">
        <v>7</v>
      </c>
      <c r="H354">
        <v>25.010999999999999</v>
      </c>
      <c r="I354">
        <f t="shared" si="5"/>
        <v>500.21999999999997</v>
      </c>
      <c r="J354">
        <v>525.23099999999999</v>
      </c>
    </row>
    <row r="355" spans="1:10" x14ac:dyDescent="0.35">
      <c r="A355" t="s">
        <v>10</v>
      </c>
      <c r="B355" t="s">
        <v>20</v>
      </c>
      <c r="C355" t="s">
        <v>21</v>
      </c>
      <c r="D355" t="s">
        <v>13</v>
      </c>
      <c r="E355" t="s">
        <v>23</v>
      </c>
      <c r="F355">
        <v>17.48</v>
      </c>
      <c r="G355">
        <v>6</v>
      </c>
      <c r="H355">
        <v>5.2439999999999998</v>
      </c>
      <c r="I355">
        <f t="shared" si="5"/>
        <v>104.88</v>
      </c>
      <c r="J355">
        <v>110.124</v>
      </c>
    </row>
    <row r="356" spans="1:10" x14ac:dyDescent="0.35">
      <c r="A356" t="s">
        <v>10</v>
      </c>
      <c r="B356" t="s">
        <v>20</v>
      </c>
      <c r="C356" t="s">
        <v>21</v>
      </c>
      <c r="D356" t="s">
        <v>17</v>
      </c>
      <c r="E356" t="s">
        <v>23</v>
      </c>
      <c r="F356">
        <v>25.56</v>
      </c>
      <c r="G356">
        <v>7</v>
      </c>
      <c r="H356">
        <v>8.9459999999999997</v>
      </c>
      <c r="I356">
        <f t="shared" si="5"/>
        <v>178.92</v>
      </c>
      <c r="J356">
        <v>187.86599999999999</v>
      </c>
    </row>
    <row r="357" spans="1:10" x14ac:dyDescent="0.35">
      <c r="A357" t="s">
        <v>10</v>
      </c>
      <c r="B357" t="s">
        <v>15</v>
      </c>
      <c r="C357" t="s">
        <v>16</v>
      </c>
      <c r="D357" t="s">
        <v>13</v>
      </c>
      <c r="E357" t="s">
        <v>24</v>
      </c>
      <c r="F357">
        <v>90.63</v>
      </c>
      <c r="G357">
        <v>9</v>
      </c>
      <c r="H357">
        <v>407.83499999999998</v>
      </c>
      <c r="I357">
        <f t="shared" si="5"/>
        <v>815.67</v>
      </c>
      <c r="J357">
        <v>1223.5049999999999</v>
      </c>
    </row>
    <row r="358" spans="1:10" x14ac:dyDescent="0.35">
      <c r="A358" t="s">
        <v>10</v>
      </c>
      <c r="B358" t="s">
        <v>15</v>
      </c>
      <c r="C358" t="s">
        <v>16</v>
      </c>
      <c r="D358" t="s">
        <v>13</v>
      </c>
      <c r="E358" t="s">
        <v>22</v>
      </c>
      <c r="F358">
        <v>36.770000000000003</v>
      </c>
      <c r="G358">
        <v>7</v>
      </c>
      <c r="H358">
        <v>12.8695</v>
      </c>
      <c r="I358">
        <f t="shared" si="5"/>
        <v>257.39000000000004</v>
      </c>
      <c r="J358">
        <v>270.25950000000006</v>
      </c>
    </row>
    <row r="359" spans="1:10" x14ac:dyDescent="0.35">
      <c r="A359" t="s">
        <v>10</v>
      </c>
      <c r="B359" t="s">
        <v>15</v>
      </c>
      <c r="C359" t="s">
        <v>16</v>
      </c>
      <c r="D359" t="s">
        <v>13</v>
      </c>
      <c r="E359" t="s">
        <v>14</v>
      </c>
      <c r="F359">
        <v>28.5</v>
      </c>
      <c r="G359">
        <v>8</v>
      </c>
      <c r="H359">
        <v>11.4</v>
      </c>
      <c r="I359">
        <f t="shared" si="5"/>
        <v>228</v>
      </c>
      <c r="J359">
        <v>239.4</v>
      </c>
    </row>
    <row r="360" spans="1:10" x14ac:dyDescent="0.35">
      <c r="A360" t="s">
        <v>10</v>
      </c>
      <c r="B360" t="s">
        <v>20</v>
      </c>
      <c r="C360" t="s">
        <v>21</v>
      </c>
      <c r="D360" t="s">
        <v>13</v>
      </c>
      <c r="E360" t="s">
        <v>19</v>
      </c>
      <c r="F360">
        <v>52.18</v>
      </c>
      <c r="G360">
        <v>7</v>
      </c>
      <c r="H360">
        <v>18.263000000000002</v>
      </c>
      <c r="I360">
        <f t="shared" si="5"/>
        <v>365.26</v>
      </c>
      <c r="J360">
        <v>383.52299999999997</v>
      </c>
    </row>
    <row r="361" spans="1:10" x14ac:dyDescent="0.35">
      <c r="A361" t="s">
        <v>10</v>
      </c>
      <c r="B361" t="s">
        <v>11</v>
      </c>
      <c r="C361" t="s">
        <v>12</v>
      </c>
      <c r="D361" t="s">
        <v>13</v>
      </c>
      <c r="E361" t="s">
        <v>23</v>
      </c>
      <c r="F361">
        <v>22.32</v>
      </c>
      <c r="G361">
        <v>4</v>
      </c>
      <c r="H361">
        <v>4.4640000000000004</v>
      </c>
      <c r="I361">
        <f t="shared" si="5"/>
        <v>89.28</v>
      </c>
      <c r="J361">
        <v>93.744</v>
      </c>
    </row>
    <row r="362" spans="1:10" x14ac:dyDescent="0.35">
      <c r="A362" t="s">
        <v>10</v>
      </c>
      <c r="B362" t="s">
        <v>15</v>
      </c>
      <c r="C362" t="s">
        <v>16</v>
      </c>
      <c r="D362" t="s">
        <v>13</v>
      </c>
      <c r="E362" t="s">
        <v>19</v>
      </c>
      <c r="F362">
        <v>81.2</v>
      </c>
      <c r="G362">
        <v>7</v>
      </c>
      <c r="H362">
        <v>28.42</v>
      </c>
      <c r="I362">
        <f t="shared" si="5"/>
        <v>568.4</v>
      </c>
      <c r="J362">
        <v>596.81999999999994</v>
      </c>
    </row>
    <row r="363" spans="1:10" x14ac:dyDescent="0.35">
      <c r="A363" t="s">
        <v>10</v>
      </c>
      <c r="B363" t="s">
        <v>11</v>
      </c>
      <c r="C363" t="s">
        <v>12</v>
      </c>
      <c r="D363" t="s">
        <v>13</v>
      </c>
      <c r="E363" t="s">
        <v>24</v>
      </c>
      <c r="F363">
        <v>71.63</v>
      </c>
      <c r="G363">
        <v>2</v>
      </c>
      <c r="H363">
        <v>7.1630000000000003</v>
      </c>
      <c r="I363">
        <f t="shared" si="5"/>
        <v>143.26</v>
      </c>
      <c r="J363">
        <v>150.423</v>
      </c>
    </row>
    <row r="364" spans="1:10" x14ac:dyDescent="0.35">
      <c r="A364" t="s">
        <v>10</v>
      </c>
      <c r="B364" t="s">
        <v>15</v>
      </c>
      <c r="C364" t="s">
        <v>16</v>
      </c>
      <c r="D364" t="s">
        <v>13</v>
      </c>
      <c r="E364" t="s">
        <v>24</v>
      </c>
      <c r="F364">
        <v>31.67</v>
      </c>
      <c r="G364">
        <v>8</v>
      </c>
      <c r="H364">
        <v>12.667999999999999</v>
      </c>
      <c r="I364">
        <f t="shared" si="5"/>
        <v>253.36</v>
      </c>
      <c r="J364">
        <v>266.02800000000002</v>
      </c>
    </row>
    <row r="365" spans="1:10" x14ac:dyDescent="0.35">
      <c r="A365" t="s">
        <v>10</v>
      </c>
      <c r="B365" t="s">
        <v>15</v>
      </c>
      <c r="C365" t="s">
        <v>16</v>
      </c>
      <c r="D365" t="s">
        <v>13</v>
      </c>
      <c r="E365" t="s">
        <v>22</v>
      </c>
      <c r="F365">
        <v>38.42</v>
      </c>
      <c r="G365">
        <v>1</v>
      </c>
      <c r="H365">
        <v>1.921</v>
      </c>
      <c r="I365">
        <f t="shared" si="5"/>
        <v>38.42</v>
      </c>
      <c r="J365">
        <v>40.341000000000001</v>
      </c>
    </row>
    <row r="366" spans="1:10" x14ac:dyDescent="0.35">
      <c r="A366" t="s">
        <v>10</v>
      </c>
      <c r="B366" t="s">
        <v>15</v>
      </c>
      <c r="C366" t="s">
        <v>16</v>
      </c>
      <c r="D366" t="s">
        <v>13</v>
      </c>
      <c r="E366" t="s">
        <v>19</v>
      </c>
      <c r="F366">
        <v>10.53</v>
      </c>
      <c r="G366">
        <v>5</v>
      </c>
      <c r="H366">
        <v>2.6324999999999998</v>
      </c>
      <c r="I366">
        <f t="shared" si="5"/>
        <v>52.65</v>
      </c>
      <c r="J366">
        <v>55.282499999999999</v>
      </c>
    </row>
    <row r="367" spans="1:10" x14ac:dyDescent="0.35">
      <c r="A367" t="s">
        <v>10</v>
      </c>
      <c r="B367" t="s">
        <v>20</v>
      </c>
      <c r="C367" t="s">
        <v>21</v>
      </c>
      <c r="D367" t="s">
        <v>13</v>
      </c>
      <c r="E367" t="s">
        <v>19</v>
      </c>
      <c r="F367">
        <v>12.29</v>
      </c>
      <c r="G367">
        <v>9</v>
      </c>
      <c r="H367">
        <v>5.5305</v>
      </c>
      <c r="I367">
        <f t="shared" si="5"/>
        <v>110.60999999999999</v>
      </c>
      <c r="J367">
        <v>116.14049999999999</v>
      </c>
    </row>
    <row r="368" spans="1:10" x14ac:dyDescent="0.35">
      <c r="A368" t="s">
        <v>10</v>
      </c>
      <c r="B368" t="s">
        <v>20</v>
      </c>
      <c r="C368" t="s">
        <v>21</v>
      </c>
      <c r="D368" t="s">
        <v>13</v>
      </c>
      <c r="E368" t="s">
        <v>23</v>
      </c>
      <c r="F368">
        <v>22.32</v>
      </c>
      <c r="G368">
        <v>4</v>
      </c>
      <c r="H368">
        <v>4.4640000000000004</v>
      </c>
      <c r="I368">
        <f t="shared" si="5"/>
        <v>89.28</v>
      </c>
      <c r="J368">
        <v>93.744</v>
      </c>
    </row>
    <row r="369" spans="1:10" x14ac:dyDescent="0.35">
      <c r="A369" t="s">
        <v>10</v>
      </c>
      <c r="B369" t="s">
        <v>11</v>
      </c>
      <c r="C369" t="s">
        <v>12</v>
      </c>
      <c r="D369" t="s">
        <v>17</v>
      </c>
      <c r="E369" t="s">
        <v>22</v>
      </c>
      <c r="F369">
        <v>27.28</v>
      </c>
      <c r="G369">
        <v>5</v>
      </c>
      <c r="H369">
        <v>6.82</v>
      </c>
      <c r="I369">
        <f t="shared" si="5"/>
        <v>136.4</v>
      </c>
      <c r="J369">
        <v>143.22</v>
      </c>
    </row>
    <row r="370" spans="1:10" x14ac:dyDescent="0.35">
      <c r="A370" t="s">
        <v>10</v>
      </c>
      <c r="B370" t="s">
        <v>11</v>
      </c>
      <c r="C370" t="s">
        <v>12</v>
      </c>
      <c r="D370" t="s">
        <v>13</v>
      </c>
      <c r="E370" t="s">
        <v>18</v>
      </c>
      <c r="F370">
        <v>17.420000000000002</v>
      </c>
      <c r="G370">
        <v>10</v>
      </c>
      <c r="H370">
        <v>8.7100000000000009</v>
      </c>
      <c r="I370">
        <f t="shared" si="5"/>
        <v>174.20000000000002</v>
      </c>
      <c r="J370">
        <v>182.91000000000003</v>
      </c>
    </row>
    <row r="371" spans="1:10" x14ac:dyDescent="0.35">
      <c r="A371" t="s">
        <v>10</v>
      </c>
      <c r="B371" t="s">
        <v>15</v>
      </c>
      <c r="C371" t="s">
        <v>16</v>
      </c>
      <c r="D371" t="s">
        <v>13</v>
      </c>
      <c r="E371" t="s">
        <v>23</v>
      </c>
      <c r="F371">
        <v>84.87</v>
      </c>
      <c r="G371">
        <v>3</v>
      </c>
      <c r="H371">
        <v>12.730499999999999</v>
      </c>
      <c r="I371">
        <f t="shared" si="5"/>
        <v>254.61</v>
      </c>
      <c r="J371">
        <v>267.34050000000002</v>
      </c>
    </row>
    <row r="372" spans="1:10" x14ac:dyDescent="0.35">
      <c r="A372" t="s">
        <v>10</v>
      </c>
      <c r="B372" t="s">
        <v>11</v>
      </c>
      <c r="C372" t="s">
        <v>12</v>
      </c>
      <c r="D372" t="s">
        <v>17</v>
      </c>
      <c r="E372" t="s">
        <v>23</v>
      </c>
      <c r="F372">
        <v>97.29</v>
      </c>
      <c r="G372">
        <v>8</v>
      </c>
      <c r="H372">
        <v>38.915999999999997</v>
      </c>
      <c r="I372">
        <f t="shared" si="5"/>
        <v>778.32</v>
      </c>
      <c r="J372">
        <v>817.2360000000001</v>
      </c>
    </row>
    <row r="373" spans="1:10" x14ac:dyDescent="0.35">
      <c r="A373" t="s">
        <v>10</v>
      </c>
      <c r="B373" t="s">
        <v>20</v>
      </c>
      <c r="C373" t="s">
        <v>21</v>
      </c>
      <c r="D373" t="s">
        <v>13</v>
      </c>
      <c r="E373" t="s">
        <v>18</v>
      </c>
      <c r="F373">
        <v>35.74</v>
      </c>
      <c r="G373">
        <v>8</v>
      </c>
      <c r="H373">
        <v>14.295999999999999</v>
      </c>
      <c r="I373">
        <f t="shared" si="5"/>
        <v>285.92</v>
      </c>
      <c r="J373">
        <v>300.21600000000001</v>
      </c>
    </row>
    <row r="374" spans="1:10" x14ac:dyDescent="0.35">
      <c r="A374" t="s">
        <v>10</v>
      </c>
      <c r="B374" t="s">
        <v>11</v>
      </c>
      <c r="C374" t="s">
        <v>12</v>
      </c>
      <c r="D374" t="s">
        <v>17</v>
      </c>
      <c r="E374" t="s">
        <v>19</v>
      </c>
      <c r="F374">
        <v>96.52</v>
      </c>
      <c r="G374">
        <v>6</v>
      </c>
      <c r="H374">
        <v>28.956</v>
      </c>
      <c r="I374">
        <f t="shared" si="5"/>
        <v>579.12</v>
      </c>
      <c r="J374">
        <v>608.07600000000002</v>
      </c>
    </row>
    <row r="375" spans="1:10" x14ac:dyDescent="0.35">
      <c r="A375" t="s">
        <v>10</v>
      </c>
      <c r="B375" t="s">
        <v>11</v>
      </c>
      <c r="C375" t="s">
        <v>12</v>
      </c>
      <c r="D375" t="s">
        <v>17</v>
      </c>
      <c r="E375" t="s">
        <v>22</v>
      </c>
      <c r="F375">
        <v>55.39</v>
      </c>
      <c r="G375">
        <v>4</v>
      </c>
      <c r="H375">
        <v>11.077999999999999</v>
      </c>
      <c r="I375">
        <f t="shared" si="5"/>
        <v>221.56</v>
      </c>
      <c r="J375">
        <v>232.63800000000001</v>
      </c>
    </row>
    <row r="376" spans="1:10" x14ac:dyDescent="0.35">
      <c r="A376" t="s">
        <v>10</v>
      </c>
      <c r="B376" t="s">
        <v>20</v>
      </c>
      <c r="C376" t="s">
        <v>21</v>
      </c>
      <c r="D376" t="s">
        <v>13</v>
      </c>
      <c r="E376" t="s">
        <v>22</v>
      </c>
      <c r="F376">
        <v>77.2</v>
      </c>
      <c r="G376">
        <v>10</v>
      </c>
      <c r="H376">
        <v>38.6</v>
      </c>
      <c r="I376">
        <f t="shared" si="5"/>
        <v>772</v>
      </c>
      <c r="J376">
        <v>810.6</v>
      </c>
    </row>
    <row r="377" spans="1:10" x14ac:dyDescent="0.35">
      <c r="A377" t="s">
        <v>10</v>
      </c>
      <c r="B377" t="s">
        <v>11</v>
      </c>
      <c r="C377" t="s">
        <v>12</v>
      </c>
      <c r="D377" t="s">
        <v>13</v>
      </c>
      <c r="E377" t="s">
        <v>23</v>
      </c>
      <c r="F377">
        <v>63.88</v>
      </c>
      <c r="G377">
        <v>8</v>
      </c>
      <c r="H377">
        <v>25.552</v>
      </c>
      <c r="I377">
        <f t="shared" si="5"/>
        <v>511.04</v>
      </c>
      <c r="J377">
        <v>536.59199999999998</v>
      </c>
    </row>
    <row r="378" spans="1:10" x14ac:dyDescent="0.35">
      <c r="A378" t="s">
        <v>10</v>
      </c>
      <c r="B378" t="s">
        <v>11</v>
      </c>
      <c r="C378" t="s">
        <v>12</v>
      </c>
      <c r="D378" t="s">
        <v>13</v>
      </c>
      <c r="E378" t="s">
        <v>14</v>
      </c>
      <c r="F378">
        <v>10.69</v>
      </c>
      <c r="G378">
        <v>5</v>
      </c>
      <c r="H378">
        <v>2.6724999999999999</v>
      </c>
      <c r="I378">
        <f t="shared" si="5"/>
        <v>53.449999999999996</v>
      </c>
      <c r="J378">
        <v>56.122499999999995</v>
      </c>
    </row>
    <row r="379" spans="1:10" x14ac:dyDescent="0.35">
      <c r="A379" t="s">
        <v>10</v>
      </c>
      <c r="B379" t="s">
        <v>20</v>
      </c>
      <c r="C379" t="s">
        <v>21</v>
      </c>
      <c r="D379" t="s">
        <v>17</v>
      </c>
      <c r="E379" t="s">
        <v>19</v>
      </c>
      <c r="F379">
        <v>95.46</v>
      </c>
      <c r="G379">
        <v>8</v>
      </c>
      <c r="H379">
        <v>38.183999999999997</v>
      </c>
      <c r="I379">
        <f t="shared" si="5"/>
        <v>763.68</v>
      </c>
      <c r="J379">
        <v>801.86399999999992</v>
      </c>
    </row>
    <row r="380" spans="1:10" x14ac:dyDescent="0.35">
      <c r="A380" t="s">
        <v>10</v>
      </c>
      <c r="B380" t="s">
        <v>15</v>
      </c>
      <c r="C380" t="s">
        <v>16</v>
      </c>
      <c r="D380" t="s">
        <v>17</v>
      </c>
      <c r="E380" t="s">
        <v>23</v>
      </c>
      <c r="F380">
        <v>76.06</v>
      </c>
      <c r="G380">
        <v>3</v>
      </c>
      <c r="H380">
        <v>11.409000000000001</v>
      </c>
      <c r="I380">
        <f t="shared" si="5"/>
        <v>228.18</v>
      </c>
      <c r="J380">
        <v>239.589</v>
      </c>
    </row>
    <row r="381" spans="1:10" x14ac:dyDescent="0.35">
      <c r="A381" t="s">
        <v>10</v>
      </c>
      <c r="B381" t="s">
        <v>20</v>
      </c>
      <c r="C381" t="s">
        <v>21</v>
      </c>
      <c r="D381" t="s">
        <v>17</v>
      </c>
      <c r="E381" t="s">
        <v>18</v>
      </c>
      <c r="F381">
        <v>95.64</v>
      </c>
      <c r="G381">
        <v>4</v>
      </c>
      <c r="H381">
        <v>19.128</v>
      </c>
      <c r="I381">
        <f t="shared" si="5"/>
        <v>382.56</v>
      </c>
      <c r="J381">
        <v>401.68799999999999</v>
      </c>
    </row>
    <row r="382" spans="1:10" x14ac:dyDescent="0.35">
      <c r="A382" t="s">
        <v>10</v>
      </c>
      <c r="B382" t="s">
        <v>11</v>
      </c>
      <c r="C382" t="s">
        <v>12</v>
      </c>
      <c r="D382" t="s">
        <v>17</v>
      </c>
      <c r="E382" t="s">
        <v>19</v>
      </c>
      <c r="F382">
        <v>11.43</v>
      </c>
      <c r="G382">
        <v>6</v>
      </c>
      <c r="H382">
        <v>3.4289999999999998</v>
      </c>
      <c r="I382">
        <f t="shared" si="5"/>
        <v>68.58</v>
      </c>
      <c r="J382">
        <v>72.009</v>
      </c>
    </row>
    <row r="383" spans="1:10" x14ac:dyDescent="0.35">
      <c r="A383" t="s">
        <v>10</v>
      </c>
      <c r="B383" t="s">
        <v>20</v>
      </c>
      <c r="C383" t="s">
        <v>21</v>
      </c>
      <c r="D383" t="s">
        <v>13</v>
      </c>
      <c r="E383" t="s">
        <v>24</v>
      </c>
      <c r="F383">
        <v>95.54</v>
      </c>
      <c r="G383">
        <v>4</v>
      </c>
      <c r="H383">
        <v>19.108000000000001</v>
      </c>
      <c r="I383">
        <f t="shared" si="5"/>
        <v>382.16</v>
      </c>
      <c r="J383">
        <v>401.26800000000003</v>
      </c>
    </row>
    <row r="384" spans="1:10" x14ac:dyDescent="0.35">
      <c r="A384" t="s">
        <v>10</v>
      </c>
      <c r="B384" t="s">
        <v>15</v>
      </c>
      <c r="C384" t="s">
        <v>16</v>
      </c>
      <c r="D384" t="s">
        <v>13</v>
      </c>
      <c r="E384" t="s">
        <v>14</v>
      </c>
      <c r="F384">
        <v>85.87</v>
      </c>
      <c r="G384">
        <v>7</v>
      </c>
      <c r="H384">
        <v>300.54500000000002</v>
      </c>
      <c r="I384">
        <f t="shared" si="5"/>
        <v>601.09</v>
      </c>
      <c r="J384">
        <v>901.63499999999999</v>
      </c>
    </row>
    <row r="385" spans="1:10" x14ac:dyDescent="0.35">
      <c r="A385" t="s">
        <v>10</v>
      </c>
      <c r="B385" t="s">
        <v>15</v>
      </c>
      <c r="C385" t="s">
        <v>16</v>
      </c>
      <c r="D385" t="s">
        <v>13</v>
      </c>
      <c r="E385" t="s">
        <v>24</v>
      </c>
      <c r="F385">
        <v>67.989999999999995</v>
      </c>
      <c r="G385">
        <v>7</v>
      </c>
      <c r="H385">
        <v>237.965</v>
      </c>
      <c r="I385">
        <f t="shared" si="5"/>
        <v>475.92999999999995</v>
      </c>
      <c r="J385">
        <v>713.89499999999998</v>
      </c>
    </row>
    <row r="386" spans="1:10" x14ac:dyDescent="0.35">
      <c r="A386" t="s">
        <v>10</v>
      </c>
      <c r="B386" t="s">
        <v>15</v>
      </c>
      <c r="C386" t="s">
        <v>16</v>
      </c>
      <c r="D386" t="s">
        <v>17</v>
      </c>
      <c r="E386" t="s">
        <v>22</v>
      </c>
      <c r="F386">
        <v>52.42</v>
      </c>
      <c r="G386">
        <v>1</v>
      </c>
      <c r="H386">
        <v>2.621</v>
      </c>
      <c r="I386">
        <f t="shared" si="5"/>
        <v>52.42</v>
      </c>
      <c r="J386">
        <v>55.041000000000004</v>
      </c>
    </row>
    <row r="387" spans="1:10" x14ac:dyDescent="0.35">
      <c r="A387" t="s">
        <v>10</v>
      </c>
      <c r="B387" t="s">
        <v>20</v>
      </c>
      <c r="C387" t="s">
        <v>21</v>
      </c>
      <c r="D387" t="s">
        <v>17</v>
      </c>
      <c r="E387" t="s">
        <v>22</v>
      </c>
      <c r="F387">
        <v>28.86</v>
      </c>
      <c r="G387">
        <v>5</v>
      </c>
      <c r="H387">
        <v>7.2149999999999999</v>
      </c>
      <c r="I387">
        <f t="shared" ref="I387:I450" si="6">F387*G387</f>
        <v>144.30000000000001</v>
      </c>
      <c r="J387">
        <v>151.51500000000001</v>
      </c>
    </row>
    <row r="388" spans="1:10" x14ac:dyDescent="0.35">
      <c r="A388" t="s">
        <v>10</v>
      </c>
      <c r="B388" t="s">
        <v>11</v>
      </c>
      <c r="C388" t="s">
        <v>12</v>
      </c>
      <c r="D388" t="s">
        <v>17</v>
      </c>
      <c r="E388" t="s">
        <v>24</v>
      </c>
      <c r="F388">
        <v>94.76</v>
      </c>
      <c r="G388">
        <v>4</v>
      </c>
      <c r="H388">
        <v>18.952000000000002</v>
      </c>
      <c r="I388">
        <f t="shared" si="6"/>
        <v>379.04</v>
      </c>
      <c r="J388">
        <v>397.99200000000002</v>
      </c>
    </row>
    <row r="389" spans="1:10" x14ac:dyDescent="0.35">
      <c r="A389" t="s">
        <v>10</v>
      </c>
      <c r="B389" t="s">
        <v>11</v>
      </c>
      <c r="C389" t="s">
        <v>12</v>
      </c>
      <c r="D389" t="s">
        <v>13</v>
      </c>
      <c r="E389" t="s">
        <v>23</v>
      </c>
      <c r="F389">
        <v>30.62</v>
      </c>
      <c r="G389">
        <v>1</v>
      </c>
      <c r="H389">
        <v>1.5309999999999999</v>
      </c>
      <c r="I389">
        <f t="shared" si="6"/>
        <v>30.62</v>
      </c>
      <c r="J389">
        <v>32.151000000000003</v>
      </c>
    </row>
    <row r="390" spans="1:10" x14ac:dyDescent="0.35">
      <c r="A390" t="s">
        <v>10</v>
      </c>
      <c r="B390" t="s">
        <v>15</v>
      </c>
      <c r="C390" t="s">
        <v>16</v>
      </c>
      <c r="D390" t="s">
        <v>17</v>
      </c>
      <c r="E390" t="s">
        <v>19</v>
      </c>
      <c r="F390">
        <v>44.01</v>
      </c>
      <c r="G390">
        <v>8</v>
      </c>
      <c r="H390">
        <v>17.603999999999999</v>
      </c>
      <c r="I390">
        <f t="shared" si="6"/>
        <v>352.08</v>
      </c>
      <c r="J390">
        <v>369.68399999999997</v>
      </c>
    </row>
    <row r="391" spans="1:10" x14ac:dyDescent="0.35">
      <c r="A391" t="s">
        <v>10</v>
      </c>
      <c r="B391" t="s">
        <v>15</v>
      </c>
      <c r="C391" t="s">
        <v>16</v>
      </c>
      <c r="D391" t="s">
        <v>13</v>
      </c>
      <c r="E391" t="s">
        <v>14</v>
      </c>
      <c r="F391">
        <v>10.16</v>
      </c>
      <c r="G391">
        <v>5</v>
      </c>
      <c r="H391">
        <v>2.54</v>
      </c>
      <c r="I391">
        <f t="shared" si="6"/>
        <v>50.8</v>
      </c>
      <c r="J391">
        <v>53.339999999999996</v>
      </c>
    </row>
    <row r="392" spans="1:10" x14ac:dyDescent="0.35">
      <c r="A392" t="s">
        <v>10</v>
      </c>
      <c r="B392" t="s">
        <v>15</v>
      </c>
      <c r="C392" t="s">
        <v>16</v>
      </c>
      <c r="D392" t="s">
        <v>17</v>
      </c>
      <c r="E392" t="s">
        <v>14</v>
      </c>
      <c r="F392">
        <v>10.99</v>
      </c>
      <c r="G392">
        <v>5</v>
      </c>
      <c r="H392">
        <v>2.7475000000000001</v>
      </c>
      <c r="I392">
        <f t="shared" si="6"/>
        <v>54.95</v>
      </c>
      <c r="J392">
        <v>57.697500000000005</v>
      </c>
    </row>
    <row r="393" spans="1:10" x14ac:dyDescent="0.35">
      <c r="A393" t="s">
        <v>10</v>
      </c>
      <c r="B393" t="s">
        <v>20</v>
      </c>
      <c r="C393" t="s">
        <v>21</v>
      </c>
      <c r="D393" t="s">
        <v>17</v>
      </c>
      <c r="E393" t="s">
        <v>19</v>
      </c>
      <c r="F393">
        <v>97.37</v>
      </c>
      <c r="G393">
        <v>10</v>
      </c>
      <c r="H393">
        <v>48.685000000000002</v>
      </c>
      <c r="I393">
        <f t="shared" si="6"/>
        <v>973.7</v>
      </c>
      <c r="J393">
        <v>1022.385</v>
      </c>
    </row>
    <row r="394" spans="1:10" x14ac:dyDescent="0.35">
      <c r="A394" t="s">
        <v>10</v>
      </c>
      <c r="B394" t="s">
        <v>11</v>
      </c>
      <c r="C394" t="s">
        <v>12</v>
      </c>
      <c r="D394" t="s">
        <v>17</v>
      </c>
      <c r="E394" t="s">
        <v>18</v>
      </c>
      <c r="F394">
        <v>46.61</v>
      </c>
      <c r="G394">
        <v>2</v>
      </c>
      <c r="H394">
        <v>4.6609999999999996</v>
      </c>
      <c r="I394">
        <f t="shared" si="6"/>
        <v>93.22</v>
      </c>
      <c r="J394">
        <v>97.881</v>
      </c>
    </row>
    <row r="395" spans="1:10" x14ac:dyDescent="0.35">
      <c r="A395" t="s">
        <v>10</v>
      </c>
      <c r="B395" t="s">
        <v>15</v>
      </c>
      <c r="C395" t="s">
        <v>16</v>
      </c>
      <c r="D395" t="s">
        <v>13</v>
      </c>
      <c r="E395" t="s">
        <v>19</v>
      </c>
      <c r="F395">
        <v>60.87</v>
      </c>
      <c r="G395">
        <v>1</v>
      </c>
      <c r="H395">
        <v>3.0434999999999999</v>
      </c>
      <c r="I395">
        <f t="shared" si="6"/>
        <v>60.87</v>
      </c>
      <c r="J395">
        <v>63.913499999999999</v>
      </c>
    </row>
    <row r="396" spans="1:10" x14ac:dyDescent="0.35">
      <c r="A396" t="s">
        <v>10</v>
      </c>
      <c r="B396" t="s">
        <v>11</v>
      </c>
      <c r="C396" t="s">
        <v>12</v>
      </c>
      <c r="D396" t="s">
        <v>13</v>
      </c>
      <c r="E396" t="s">
        <v>24</v>
      </c>
      <c r="F396">
        <v>24.49</v>
      </c>
      <c r="G396">
        <v>10</v>
      </c>
      <c r="H396">
        <v>12.244999999999999</v>
      </c>
      <c r="I396">
        <f t="shared" si="6"/>
        <v>244.89999999999998</v>
      </c>
      <c r="J396">
        <v>257.14499999999998</v>
      </c>
    </row>
    <row r="397" spans="1:10" x14ac:dyDescent="0.35">
      <c r="A397" t="s">
        <v>10</v>
      </c>
      <c r="B397" t="s">
        <v>15</v>
      </c>
      <c r="C397" t="s">
        <v>16</v>
      </c>
      <c r="D397" t="s">
        <v>13</v>
      </c>
      <c r="E397" t="s">
        <v>18</v>
      </c>
      <c r="F397">
        <v>30.2</v>
      </c>
      <c r="G397">
        <v>8</v>
      </c>
      <c r="H397">
        <v>12.08</v>
      </c>
      <c r="I397">
        <f t="shared" si="6"/>
        <v>241.6</v>
      </c>
      <c r="J397">
        <v>253.68</v>
      </c>
    </row>
    <row r="398" spans="1:10" x14ac:dyDescent="0.35">
      <c r="A398" t="s">
        <v>10</v>
      </c>
      <c r="B398" t="s">
        <v>11</v>
      </c>
      <c r="C398" t="s">
        <v>12</v>
      </c>
      <c r="D398" t="s">
        <v>13</v>
      </c>
      <c r="E398" t="s">
        <v>23</v>
      </c>
      <c r="F398">
        <v>48.96</v>
      </c>
      <c r="G398">
        <v>9</v>
      </c>
      <c r="H398">
        <v>22.032</v>
      </c>
      <c r="I398">
        <f t="shared" si="6"/>
        <v>440.64</v>
      </c>
      <c r="J398">
        <v>462.67199999999997</v>
      </c>
    </row>
    <row r="399" spans="1:10" x14ac:dyDescent="0.35">
      <c r="A399" t="s">
        <v>10</v>
      </c>
      <c r="B399" t="s">
        <v>20</v>
      </c>
      <c r="C399" t="s">
        <v>21</v>
      </c>
      <c r="D399" t="s">
        <v>13</v>
      </c>
      <c r="E399" t="s">
        <v>18</v>
      </c>
      <c r="F399">
        <v>75.59</v>
      </c>
      <c r="G399">
        <v>9</v>
      </c>
      <c r="H399">
        <v>340.15499999999997</v>
      </c>
      <c r="I399">
        <f t="shared" si="6"/>
        <v>680.31000000000006</v>
      </c>
      <c r="J399">
        <v>1020.465</v>
      </c>
    </row>
    <row r="400" spans="1:10" x14ac:dyDescent="0.35">
      <c r="A400" t="s">
        <v>10</v>
      </c>
      <c r="B400" t="s">
        <v>11</v>
      </c>
      <c r="C400" t="s">
        <v>12</v>
      </c>
      <c r="D400" t="s">
        <v>17</v>
      </c>
      <c r="E400" t="s">
        <v>19</v>
      </c>
      <c r="F400">
        <v>77.47</v>
      </c>
      <c r="G400">
        <v>4</v>
      </c>
      <c r="H400">
        <v>15.494</v>
      </c>
      <c r="I400">
        <f t="shared" si="6"/>
        <v>309.88</v>
      </c>
      <c r="J400">
        <v>325.37400000000002</v>
      </c>
    </row>
    <row r="401" spans="1:10" x14ac:dyDescent="0.35">
      <c r="A401" t="s">
        <v>10</v>
      </c>
      <c r="B401" t="s">
        <v>11</v>
      </c>
      <c r="C401" t="s">
        <v>12</v>
      </c>
      <c r="D401" t="s">
        <v>17</v>
      </c>
      <c r="E401" t="s">
        <v>24</v>
      </c>
      <c r="F401">
        <v>93.18</v>
      </c>
      <c r="G401">
        <v>2</v>
      </c>
      <c r="H401">
        <v>9.3179999999999996</v>
      </c>
      <c r="I401">
        <f t="shared" si="6"/>
        <v>186.36</v>
      </c>
      <c r="J401">
        <v>195.67800000000003</v>
      </c>
    </row>
    <row r="402" spans="1:10" x14ac:dyDescent="0.35">
      <c r="A402" t="s">
        <v>10</v>
      </c>
      <c r="B402" t="s">
        <v>11</v>
      </c>
      <c r="C402" t="s">
        <v>12</v>
      </c>
      <c r="D402" t="s">
        <v>17</v>
      </c>
      <c r="E402" t="s">
        <v>18</v>
      </c>
      <c r="F402">
        <v>50.23</v>
      </c>
      <c r="G402">
        <v>4</v>
      </c>
      <c r="H402">
        <v>10.045999999999999</v>
      </c>
      <c r="I402">
        <f t="shared" si="6"/>
        <v>200.92</v>
      </c>
      <c r="J402">
        <v>210.96599999999998</v>
      </c>
    </row>
    <row r="403" spans="1:10" x14ac:dyDescent="0.35">
      <c r="A403" t="s">
        <v>10</v>
      </c>
      <c r="B403" t="s">
        <v>20</v>
      </c>
      <c r="C403" t="s">
        <v>21</v>
      </c>
      <c r="D403" t="s">
        <v>17</v>
      </c>
      <c r="E403" t="s">
        <v>14</v>
      </c>
      <c r="F403">
        <v>17.75</v>
      </c>
      <c r="G403">
        <v>1</v>
      </c>
      <c r="H403">
        <v>8.875</v>
      </c>
      <c r="I403">
        <f t="shared" si="6"/>
        <v>17.75</v>
      </c>
      <c r="J403">
        <v>26.625</v>
      </c>
    </row>
    <row r="404" spans="1:10" x14ac:dyDescent="0.35">
      <c r="A404" t="s">
        <v>10</v>
      </c>
      <c r="B404" t="s">
        <v>15</v>
      </c>
      <c r="C404" t="s">
        <v>16</v>
      </c>
      <c r="D404" t="s">
        <v>17</v>
      </c>
      <c r="E404" t="s">
        <v>23</v>
      </c>
      <c r="F404">
        <v>62.18</v>
      </c>
      <c r="G404">
        <v>10</v>
      </c>
      <c r="H404">
        <v>31.09</v>
      </c>
      <c r="I404">
        <f t="shared" si="6"/>
        <v>621.79999999999995</v>
      </c>
      <c r="J404">
        <v>652.89</v>
      </c>
    </row>
    <row r="405" spans="1:10" x14ac:dyDescent="0.35">
      <c r="A405" t="s">
        <v>10</v>
      </c>
      <c r="B405" t="s">
        <v>11</v>
      </c>
      <c r="C405" t="s">
        <v>12</v>
      </c>
      <c r="D405" t="s">
        <v>17</v>
      </c>
      <c r="E405" t="s">
        <v>18</v>
      </c>
      <c r="F405">
        <v>40.26</v>
      </c>
      <c r="G405">
        <v>10</v>
      </c>
      <c r="H405">
        <v>20.13</v>
      </c>
      <c r="I405">
        <f t="shared" si="6"/>
        <v>402.59999999999997</v>
      </c>
      <c r="J405">
        <v>422.72999999999996</v>
      </c>
    </row>
    <row r="406" spans="1:10" x14ac:dyDescent="0.35">
      <c r="A406" t="s">
        <v>10</v>
      </c>
      <c r="B406" t="s">
        <v>15</v>
      </c>
      <c r="C406" t="s">
        <v>16</v>
      </c>
      <c r="D406" t="s">
        <v>13</v>
      </c>
      <c r="E406" t="s">
        <v>24</v>
      </c>
      <c r="F406">
        <v>64.97</v>
      </c>
      <c r="G406">
        <v>5</v>
      </c>
      <c r="H406">
        <v>162.42500000000001</v>
      </c>
      <c r="I406">
        <f t="shared" si="6"/>
        <v>324.85000000000002</v>
      </c>
      <c r="J406">
        <v>487.27500000000003</v>
      </c>
    </row>
    <row r="407" spans="1:10" x14ac:dyDescent="0.35">
      <c r="A407" t="s">
        <v>10</v>
      </c>
      <c r="B407" t="s">
        <v>11</v>
      </c>
      <c r="C407" t="s">
        <v>12</v>
      </c>
      <c r="D407" t="s">
        <v>13</v>
      </c>
      <c r="E407" t="s">
        <v>18</v>
      </c>
      <c r="F407">
        <v>48.62</v>
      </c>
      <c r="G407">
        <v>8</v>
      </c>
      <c r="H407">
        <v>19.448</v>
      </c>
      <c r="I407">
        <f t="shared" si="6"/>
        <v>388.96</v>
      </c>
      <c r="J407">
        <v>408.40799999999996</v>
      </c>
    </row>
    <row r="408" spans="1:10" x14ac:dyDescent="0.35">
      <c r="A408" t="s">
        <v>10</v>
      </c>
      <c r="B408" t="s">
        <v>20</v>
      </c>
      <c r="C408" t="s">
        <v>21</v>
      </c>
      <c r="D408" t="s">
        <v>17</v>
      </c>
      <c r="E408" t="s">
        <v>22</v>
      </c>
      <c r="F408">
        <v>53.21</v>
      </c>
      <c r="G408">
        <v>8</v>
      </c>
      <c r="H408">
        <v>21.283999999999999</v>
      </c>
      <c r="I408">
        <f t="shared" si="6"/>
        <v>425.68</v>
      </c>
      <c r="J408">
        <v>446.964</v>
      </c>
    </row>
    <row r="409" spans="1:10" x14ac:dyDescent="0.35">
      <c r="A409" t="s">
        <v>10</v>
      </c>
      <c r="B409" t="s">
        <v>15</v>
      </c>
      <c r="C409" t="s">
        <v>16</v>
      </c>
      <c r="D409" t="s">
        <v>17</v>
      </c>
      <c r="E409" t="s">
        <v>23</v>
      </c>
      <c r="F409">
        <v>45.44</v>
      </c>
      <c r="G409">
        <v>7</v>
      </c>
      <c r="H409">
        <v>15.904</v>
      </c>
      <c r="I409">
        <f t="shared" si="6"/>
        <v>318.08</v>
      </c>
      <c r="J409">
        <v>333.98399999999998</v>
      </c>
    </row>
    <row r="410" spans="1:10" x14ac:dyDescent="0.35">
      <c r="A410" t="s">
        <v>10</v>
      </c>
      <c r="B410" t="s">
        <v>11</v>
      </c>
      <c r="C410" t="s">
        <v>12</v>
      </c>
      <c r="D410" t="s">
        <v>13</v>
      </c>
      <c r="E410" t="s">
        <v>19</v>
      </c>
      <c r="F410">
        <v>47.68</v>
      </c>
      <c r="G410">
        <v>2</v>
      </c>
      <c r="H410">
        <v>4.7679999999999998</v>
      </c>
      <c r="I410">
        <f t="shared" si="6"/>
        <v>95.36</v>
      </c>
      <c r="J410">
        <v>100.128</v>
      </c>
    </row>
    <row r="411" spans="1:10" x14ac:dyDescent="0.35">
      <c r="A411" t="s">
        <v>10</v>
      </c>
      <c r="B411" t="s">
        <v>11</v>
      </c>
      <c r="C411" t="s">
        <v>12</v>
      </c>
      <c r="D411" t="s">
        <v>17</v>
      </c>
      <c r="E411" t="s">
        <v>14</v>
      </c>
      <c r="F411">
        <v>68.709999999999994</v>
      </c>
      <c r="G411">
        <v>3</v>
      </c>
      <c r="H411">
        <v>10.3065</v>
      </c>
      <c r="I411">
        <f t="shared" si="6"/>
        <v>206.13</v>
      </c>
      <c r="J411">
        <v>216.4365</v>
      </c>
    </row>
    <row r="412" spans="1:10" x14ac:dyDescent="0.35">
      <c r="A412" t="s">
        <v>10</v>
      </c>
      <c r="B412" t="s">
        <v>20</v>
      </c>
      <c r="C412" t="s">
        <v>21</v>
      </c>
      <c r="D412" t="s">
        <v>13</v>
      </c>
      <c r="E412" t="s">
        <v>24</v>
      </c>
      <c r="F412">
        <v>60.08</v>
      </c>
      <c r="G412">
        <v>7</v>
      </c>
      <c r="H412">
        <v>21.027999999999999</v>
      </c>
      <c r="I412">
        <f t="shared" si="6"/>
        <v>420.56</v>
      </c>
      <c r="J412">
        <v>441.58800000000002</v>
      </c>
    </row>
    <row r="413" spans="1:10" x14ac:dyDescent="0.35">
      <c r="A413" t="s">
        <v>10</v>
      </c>
      <c r="B413" t="s">
        <v>11</v>
      </c>
      <c r="C413" t="s">
        <v>12</v>
      </c>
      <c r="D413" t="s">
        <v>13</v>
      </c>
      <c r="E413" t="s">
        <v>24</v>
      </c>
      <c r="F413">
        <v>22.01</v>
      </c>
      <c r="G413">
        <v>4</v>
      </c>
      <c r="H413">
        <v>4.4020000000000001</v>
      </c>
      <c r="I413">
        <f t="shared" si="6"/>
        <v>88.04</v>
      </c>
      <c r="J413">
        <v>92.442000000000007</v>
      </c>
    </row>
    <row r="414" spans="1:10" x14ac:dyDescent="0.35">
      <c r="A414" t="s">
        <v>10</v>
      </c>
      <c r="B414" t="s">
        <v>20</v>
      </c>
      <c r="C414" t="s">
        <v>21</v>
      </c>
      <c r="D414" t="s">
        <v>13</v>
      </c>
      <c r="E414" t="s">
        <v>14</v>
      </c>
      <c r="F414">
        <v>72.11</v>
      </c>
      <c r="G414">
        <v>9</v>
      </c>
      <c r="H414">
        <v>324.495</v>
      </c>
      <c r="I414">
        <f t="shared" si="6"/>
        <v>648.99</v>
      </c>
      <c r="J414">
        <v>973.48500000000001</v>
      </c>
    </row>
    <row r="415" spans="1:10" x14ac:dyDescent="0.35">
      <c r="A415" t="s">
        <v>10</v>
      </c>
      <c r="B415" t="s">
        <v>11</v>
      </c>
      <c r="C415" t="s">
        <v>12</v>
      </c>
      <c r="D415" t="s">
        <v>13</v>
      </c>
      <c r="E415" t="s">
        <v>18</v>
      </c>
      <c r="F415">
        <v>74.22</v>
      </c>
      <c r="G415">
        <v>10</v>
      </c>
      <c r="H415">
        <v>37.11</v>
      </c>
      <c r="I415">
        <f t="shared" si="6"/>
        <v>742.2</v>
      </c>
      <c r="J415">
        <v>779.31000000000006</v>
      </c>
    </row>
    <row r="416" spans="1:10" x14ac:dyDescent="0.35">
      <c r="A416" t="s">
        <v>10</v>
      </c>
      <c r="B416" t="s">
        <v>20</v>
      </c>
      <c r="C416" t="s">
        <v>21</v>
      </c>
      <c r="D416" t="s">
        <v>13</v>
      </c>
      <c r="E416" t="s">
        <v>24</v>
      </c>
      <c r="F416">
        <v>11.85</v>
      </c>
      <c r="G416">
        <v>8</v>
      </c>
      <c r="H416">
        <v>4.74</v>
      </c>
      <c r="I416">
        <f t="shared" si="6"/>
        <v>94.8</v>
      </c>
      <c r="J416">
        <v>99.539999999999992</v>
      </c>
    </row>
    <row r="417" spans="1:10" x14ac:dyDescent="0.35">
      <c r="A417" t="s">
        <v>10</v>
      </c>
      <c r="B417" t="s">
        <v>20</v>
      </c>
      <c r="C417" t="s">
        <v>21</v>
      </c>
      <c r="D417" t="s">
        <v>13</v>
      </c>
      <c r="E417" t="s">
        <v>19</v>
      </c>
      <c r="F417">
        <v>40.729999999999997</v>
      </c>
      <c r="G417">
        <v>7</v>
      </c>
      <c r="H417">
        <v>142.55500000000001</v>
      </c>
      <c r="I417">
        <f t="shared" si="6"/>
        <v>285.10999999999996</v>
      </c>
      <c r="J417">
        <v>427.66499999999996</v>
      </c>
    </row>
    <row r="418" spans="1:10" x14ac:dyDescent="0.35">
      <c r="A418" t="s">
        <v>10</v>
      </c>
      <c r="B418" t="s">
        <v>15</v>
      </c>
      <c r="C418" t="s">
        <v>16</v>
      </c>
      <c r="D418" t="s">
        <v>13</v>
      </c>
      <c r="E418" t="s">
        <v>24</v>
      </c>
      <c r="F418">
        <v>29.22</v>
      </c>
      <c r="G418">
        <v>6</v>
      </c>
      <c r="H418">
        <v>8.766</v>
      </c>
      <c r="I418">
        <f t="shared" si="6"/>
        <v>175.32</v>
      </c>
      <c r="J418">
        <v>184.08599999999998</v>
      </c>
    </row>
    <row r="419" spans="1:10" x14ac:dyDescent="0.35">
      <c r="A419" t="s">
        <v>10</v>
      </c>
      <c r="B419" t="s">
        <v>11</v>
      </c>
      <c r="C419" t="s">
        <v>12</v>
      </c>
      <c r="D419" t="s">
        <v>13</v>
      </c>
      <c r="E419" t="s">
        <v>24</v>
      </c>
      <c r="F419">
        <v>39.47</v>
      </c>
      <c r="G419">
        <v>2</v>
      </c>
      <c r="H419">
        <v>3.9470000000000001</v>
      </c>
      <c r="I419">
        <f t="shared" si="6"/>
        <v>78.94</v>
      </c>
      <c r="J419">
        <v>82.887</v>
      </c>
    </row>
    <row r="420" spans="1:10" x14ac:dyDescent="0.35">
      <c r="A420" t="s">
        <v>10</v>
      </c>
      <c r="B420" t="s">
        <v>15</v>
      </c>
      <c r="C420" t="s">
        <v>16</v>
      </c>
      <c r="D420" t="s">
        <v>13</v>
      </c>
      <c r="E420" t="s">
        <v>22</v>
      </c>
      <c r="F420">
        <v>14.87</v>
      </c>
      <c r="G420">
        <v>2</v>
      </c>
      <c r="H420">
        <v>1.4870000000000001</v>
      </c>
      <c r="I420">
        <f t="shared" si="6"/>
        <v>29.74</v>
      </c>
      <c r="J420">
        <v>31.226999999999997</v>
      </c>
    </row>
    <row r="421" spans="1:10" x14ac:dyDescent="0.35">
      <c r="A421" t="s">
        <v>10</v>
      </c>
      <c r="B421" t="s">
        <v>15</v>
      </c>
      <c r="C421" t="s">
        <v>16</v>
      </c>
      <c r="D421" t="s">
        <v>17</v>
      </c>
      <c r="E421" t="s">
        <v>24</v>
      </c>
      <c r="F421">
        <v>22.38</v>
      </c>
      <c r="G421">
        <v>1</v>
      </c>
      <c r="H421">
        <v>1.119</v>
      </c>
      <c r="I421">
        <f t="shared" si="6"/>
        <v>22.38</v>
      </c>
      <c r="J421">
        <v>23.498999999999999</v>
      </c>
    </row>
    <row r="422" spans="1:10" x14ac:dyDescent="0.35">
      <c r="A422" t="s">
        <v>10</v>
      </c>
      <c r="B422" t="s">
        <v>15</v>
      </c>
      <c r="C422" t="s">
        <v>16</v>
      </c>
      <c r="D422" t="s">
        <v>13</v>
      </c>
      <c r="E422" t="s">
        <v>22</v>
      </c>
      <c r="F422">
        <v>72.88</v>
      </c>
      <c r="G422">
        <v>9</v>
      </c>
      <c r="H422">
        <v>32.795999999999999</v>
      </c>
      <c r="I422">
        <f t="shared" si="6"/>
        <v>655.92</v>
      </c>
      <c r="J422">
        <v>688.71600000000001</v>
      </c>
    </row>
    <row r="423" spans="1:10" x14ac:dyDescent="0.35">
      <c r="A423" t="s">
        <v>10</v>
      </c>
      <c r="B423" t="s">
        <v>11</v>
      </c>
      <c r="C423" t="s">
        <v>12</v>
      </c>
      <c r="D423" t="s">
        <v>17</v>
      </c>
      <c r="E423" t="s">
        <v>23</v>
      </c>
      <c r="F423">
        <v>99.1</v>
      </c>
      <c r="G423">
        <v>6</v>
      </c>
      <c r="H423">
        <v>29.73</v>
      </c>
      <c r="I423">
        <f t="shared" si="6"/>
        <v>594.59999999999991</v>
      </c>
      <c r="J423">
        <v>624.32999999999993</v>
      </c>
    </row>
    <row r="424" spans="1:10" x14ac:dyDescent="0.35">
      <c r="A424" t="s">
        <v>10</v>
      </c>
      <c r="B424" t="s">
        <v>11</v>
      </c>
      <c r="C424" t="s">
        <v>12</v>
      </c>
      <c r="D424" t="s">
        <v>17</v>
      </c>
      <c r="E424" t="s">
        <v>23</v>
      </c>
      <c r="F424">
        <v>98.48</v>
      </c>
      <c r="G424">
        <v>2</v>
      </c>
      <c r="H424">
        <v>9.8480000000000008</v>
      </c>
      <c r="I424">
        <f t="shared" si="6"/>
        <v>196.96</v>
      </c>
      <c r="J424">
        <v>206.80800000000002</v>
      </c>
    </row>
    <row r="425" spans="1:10" x14ac:dyDescent="0.35">
      <c r="A425" t="s">
        <v>10</v>
      </c>
      <c r="B425" t="s">
        <v>20</v>
      </c>
      <c r="C425" t="s">
        <v>21</v>
      </c>
      <c r="D425" t="s">
        <v>17</v>
      </c>
      <c r="E425" t="s">
        <v>18</v>
      </c>
      <c r="F425">
        <v>52.79</v>
      </c>
      <c r="G425">
        <v>10</v>
      </c>
      <c r="H425">
        <v>26.395</v>
      </c>
      <c r="I425">
        <f t="shared" si="6"/>
        <v>527.9</v>
      </c>
      <c r="J425">
        <v>554.29499999999996</v>
      </c>
    </row>
    <row r="426" spans="1:10" x14ac:dyDescent="0.35">
      <c r="A426" t="s">
        <v>10</v>
      </c>
      <c r="B426" t="s">
        <v>11</v>
      </c>
      <c r="C426" t="s">
        <v>12</v>
      </c>
      <c r="D426" t="s">
        <v>13</v>
      </c>
      <c r="E426" t="s">
        <v>14</v>
      </c>
      <c r="F426">
        <v>95.95</v>
      </c>
      <c r="G426">
        <v>5</v>
      </c>
      <c r="H426">
        <v>239.875</v>
      </c>
      <c r="I426">
        <f t="shared" si="6"/>
        <v>479.75</v>
      </c>
      <c r="J426">
        <v>719.625</v>
      </c>
    </row>
    <row r="427" spans="1:10" x14ac:dyDescent="0.35">
      <c r="A427" t="s">
        <v>10</v>
      </c>
      <c r="B427" t="s">
        <v>20</v>
      </c>
      <c r="C427" t="s">
        <v>21</v>
      </c>
      <c r="D427" t="s">
        <v>17</v>
      </c>
      <c r="E427" t="s">
        <v>23</v>
      </c>
      <c r="F427">
        <v>36.51</v>
      </c>
      <c r="G427">
        <v>9</v>
      </c>
      <c r="H427">
        <v>164.29499999999999</v>
      </c>
      <c r="I427">
        <f t="shared" si="6"/>
        <v>328.59</v>
      </c>
      <c r="J427">
        <v>492.88499999999999</v>
      </c>
    </row>
    <row r="428" spans="1:10" x14ac:dyDescent="0.35">
      <c r="A428" t="s">
        <v>10</v>
      </c>
      <c r="B428" t="s">
        <v>11</v>
      </c>
      <c r="C428" t="s">
        <v>12</v>
      </c>
      <c r="D428" t="s">
        <v>13</v>
      </c>
      <c r="E428" t="s">
        <v>19</v>
      </c>
      <c r="F428">
        <v>28.31</v>
      </c>
      <c r="G428">
        <v>4</v>
      </c>
      <c r="H428">
        <v>5.6619999999999999</v>
      </c>
      <c r="I428">
        <f t="shared" si="6"/>
        <v>113.24</v>
      </c>
      <c r="J428">
        <v>118.902</v>
      </c>
    </row>
    <row r="429" spans="1:10" x14ac:dyDescent="0.35">
      <c r="A429" t="s">
        <v>10</v>
      </c>
      <c r="B429" t="s">
        <v>11</v>
      </c>
      <c r="C429" t="s">
        <v>12</v>
      </c>
      <c r="D429" t="s">
        <v>13</v>
      </c>
      <c r="E429" t="s">
        <v>22</v>
      </c>
      <c r="F429">
        <v>47.63</v>
      </c>
      <c r="G429">
        <v>9</v>
      </c>
      <c r="H429">
        <v>214.33500000000001</v>
      </c>
      <c r="I429">
        <f t="shared" si="6"/>
        <v>428.67</v>
      </c>
      <c r="J429">
        <v>643.005</v>
      </c>
    </row>
    <row r="430" spans="1:10" x14ac:dyDescent="0.35">
      <c r="A430" t="s">
        <v>10</v>
      </c>
      <c r="B430" t="s">
        <v>15</v>
      </c>
      <c r="C430" t="s">
        <v>16</v>
      </c>
      <c r="D430" t="s">
        <v>13</v>
      </c>
      <c r="E430" t="s">
        <v>19</v>
      </c>
      <c r="F430">
        <v>86.27</v>
      </c>
      <c r="G430">
        <v>1</v>
      </c>
      <c r="H430">
        <v>4.3135000000000003</v>
      </c>
      <c r="I430">
        <f t="shared" si="6"/>
        <v>86.27</v>
      </c>
      <c r="J430">
        <v>90.583500000000001</v>
      </c>
    </row>
    <row r="431" spans="1:10" x14ac:dyDescent="0.35">
      <c r="A431" t="s">
        <v>10</v>
      </c>
      <c r="B431" t="s">
        <v>20</v>
      </c>
      <c r="C431" t="s">
        <v>21</v>
      </c>
      <c r="D431" t="s">
        <v>17</v>
      </c>
      <c r="E431" t="s">
        <v>19</v>
      </c>
      <c r="F431">
        <v>11.28</v>
      </c>
      <c r="G431">
        <v>9</v>
      </c>
      <c r="H431">
        <v>5.0759999999999996</v>
      </c>
      <c r="I431">
        <f t="shared" si="6"/>
        <v>101.52</v>
      </c>
      <c r="J431">
        <v>106.59599999999999</v>
      </c>
    </row>
    <row r="432" spans="1:10" x14ac:dyDescent="0.35">
      <c r="A432" t="s">
        <v>10</v>
      </c>
      <c r="B432" t="s">
        <v>20</v>
      </c>
      <c r="C432" t="s">
        <v>21</v>
      </c>
      <c r="D432" t="s">
        <v>17</v>
      </c>
      <c r="E432" t="s">
        <v>19</v>
      </c>
      <c r="F432">
        <v>51.07</v>
      </c>
      <c r="G432">
        <v>7</v>
      </c>
      <c r="H432">
        <v>178.745</v>
      </c>
      <c r="I432">
        <f t="shared" si="6"/>
        <v>357.49</v>
      </c>
      <c r="J432">
        <v>536.23500000000001</v>
      </c>
    </row>
    <row r="433" spans="1:10" x14ac:dyDescent="0.35">
      <c r="A433" t="s">
        <v>10</v>
      </c>
      <c r="B433" t="s">
        <v>11</v>
      </c>
      <c r="C433" t="s">
        <v>12</v>
      </c>
      <c r="D433" t="s">
        <v>13</v>
      </c>
      <c r="E433" t="s">
        <v>18</v>
      </c>
      <c r="F433">
        <v>79.59</v>
      </c>
      <c r="G433">
        <v>3</v>
      </c>
      <c r="H433">
        <v>11.938499999999999</v>
      </c>
      <c r="I433">
        <f t="shared" si="6"/>
        <v>238.77</v>
      </c>
      <c r="J433">
        <v>250.70850000000002</v>
      </c>
    </row>
    <row r="434" spans="1:10" x14ac:dyDescent="0.35">
      <c r="A434" t="s">
        <v>10</v>
      </c>
      <c r="B434" t="s">
        <v>15</v>
      </c>
      <c r="C434" t="s">
        <v>16</v>
      </c>
      <c r="D434" t="s">
        <v>13</v>
      </c>
      <c r="E434" t="s">
        <v>14</v>
      </c>
      <c r="F434">
        <v>62.82</v>
      </c>
      <c r="G434">
        <v>2</v>
      </c>
      <c r="H434">
        <v>6.282</v>
      </c>
      <c r="I434">
        <f t="shared" si="6"/>
        <v>125.64</v>
      </c>
      <c r="J434">
        <v>131.922</v>
      </c>
    </row>
    <row r="435" spans="1:10" x14ac:dyDescent="0.35">
      <c r="A435" t="s">
        <v>10</v>
      </c>
      <c r="B435" t="s">
        <v>20</v>
      </c>
      <c r="C435" t="s">
        <v>21</v>
      </c>
      <c r="D435" t="s">
        <v>13</v>
      </c>
      <c r="E435" t="s">
        <v>18</v>
      </c>
      <c r="F435">
        <v>21.43</v>
      </c>
      <c r="G435">
        <v>10</v>
      </c>
      <c r="H435">
        <v>10.715</v>
      </c>
      <c r="I435">
        <f t="shared" si="6"/>
        <v>214.3</v>
      </c>
      <c r="J435">
        <v>225.01500000000001</v>
      </c>
    </row>
    <row r="436" spans="1:10" x14ac:dyDescent="0.35">
      <c r="A436" t="s">
        <v>10</v>
      </c>
      <c r="B436" t="s">
        <v>11</v>
      </c>
      <c r="C436" t="s">
        <v>12</v>
      </c>
      <c r="D436" t="s">
        <v>17</v>
      </c>
      <c r="E436" t="s">
        <v>18</v>
      </c>
      <c r="F436">
        <v>90.02</v>
      </c>
      <c r="G436">
        <v>8</v>
      </c>
      <c r="H436">
        <v>36.008000000000003</v>
      </c>
      <c r="I436">
        <f t="shared" si="6"/>
        <v>720.16</v>
      </c>
      <c r="J436">
        <v>756.16800000000001</v>
      </c>
    </row>
    <row r="437" spans="1:10" x14ac:dyDescent="0.35">
      <c r="A437" t="s">
        <v>10</v>
      </c>
      <c r="B437" t="s">
        <v>20</v>
      </c>
      <c r="C437" t="s">
        <v>21</v>
      </c>
      <c r="D437" t="s">
        <v>13</v>
      </c>
      <c r="E437" t="s">
        <v>18</v>
      </c>
      <c r="F437">
        <v>12.1</v>
      </c>
      <c r="G437">
        <v>8</v>
      </c>
      <c r="H437">
        <v>4.84</v>
      </c>
      <c r="I437">
        <f t="shared" si="6"/>
        <v>96.8</v>
      </c>
      <c r="J437">
        <v>101.64</v>
      </c>
    </row>
    <row r="438" spans="1:10" x14ac:dyDescent="0.35">
      <c r="A438" t="s">
        <v>10</v>
      </c>
      <c r="B438" t="s">
        <v>20</v>
      </c>
      <c r="C438" t="s">
        <v>21</v>
      </c>
      <c r="D438" t="s">
        <v>13</v>
      </c>
      <c r="E438" t="s">
        <v>22</v>
      </c>
      <c r="F438">
        <v>33.21</v>
      </c>
      <c r="G438">
        <v>10</v>
      </c>
      <c r="H438">
        <v>16.605</v>
      </c>
      <c r="I438">
        <f t="shared" si="6"/>
        <v>332.1</v>
      </c>
      <c r="J438">
        <v>348.70500000000004</v>
      </c>
    </row>
    <row r="439" spans="1:10" x14ac:dyDescent="0.35">
      <c r="A439" t="s">
        <v>10</v>
      </c>
      <c r="B439" t="s">
        <v>15</v>
      </c>
      <c r="C439" t="s">
        <v>16</v>
      </c>
      <c r="D439" t="s">
        <v>13</v>
      </c>
      <c r="E439" t="s">
        <v>23</v>
      </c>
      <c r="F439">
        <v>10.18</v>
      </c>
      <c r="G439">
        <v>8</v>
      </c>
      <c r="H439">
        <v>4.0720000000000001</v>
      </c>
      <c r="I439">
        <f t="shared" si="6"/>
        <v>81.44</v>
      </c>
      <c r="J439">
        <v>85.512</v>
      </c>
    </row>
    <row r="440" spans="1:10" x14ac:dyDescent="0.35">
      <c r="A440" t="s">
        <v>10</v>
      </c>
      <c r="B440" t="s">
        <v>11</v>
      </c>
      <c r="C440" t="s">
        <v>12</v>
      </c>
      <c r="D440" t="s">
        <v>13</v>
      </c>
      <c r="E440" t="s">
        <v>19</v>
      </c>
      <c r="F440">
        <v>34.42</v>
      </c>
      <c r="G440">
        <v>6</v>
      </c>
      <c r="H440">
        <v>10.326000000000001</v>
      </c>
      <c r="I440">
        <f t="shared" si="6"/>
        <v>206.52</v>
      </c>
      <c r="J440">
        <v>216.846</v>
      </c>
    </row>
    <row r="441" spans="1:10" x14ac:dyDescent="0.35">
      <c r="A441" t="s">
        <v>10</v>
      </c>
      <c r="B441" t="s">
        <v>11</v>
      </c>
      <c r="C441" t="s">
        <v>12</v>
      </c>
      <c r="D441" t="s">
        <v>13</v>
      </c>
      <c r="E441" t="s">
        <v>22</v>
      </c>
      <c r="F441">
        <v>83.34</v>
      </c>
      <c r="G441">
        <v>2</v>
      </c>
      <c r="H441">
        <v>8.3339999999999996</v>
      </c>
      <c r="I441">
        <f t="shared" si="6"/>
        <v>166.68</v>
      </c>
      <c r="J441">
        <v>175.01400000000001</v>
      </c>
    </row>
    <row r="442" spans="1:10" x14ac:dyDescent="0.35">
      <c r="A442" t="s">
        <v>10</v>
      </c>
      <c r="B442" t="s">
        <v>11</v>
      </c>
      <c r="C442" t="s">
        <v>12</v>
      </c>
      <c r="D442" t="s">
        <v>13</v>
      </c>
      <c r="E442" t="s">
        <v>18</v>
      </c>
      <c r="F442">
        <v>73.47</v>
      </c>
      <c r="G442">
        <v>10</v>
      </c>
      <c r="H442">
        <v>36.734999999999999</v>
      </c>
      <c r="I442">
        <f t="shared" si="6"/>
        <v>734.7</v>
      </c>
      <c r="J442">
        <v>771.43500000000006</v>
      </c>
    </row>
    <row r="443" spans="1:10" x14ac:dyDescent="0.35">
      <c r="A443" t="s">
        <v>10</v>
      </c>
      <c r="B443" t="s">
        <v>15</v>
      </c>
      <c r="C443" t="s">
        <v>16</v>
      </c>
      <c r="D443" t="s">
        <v>17</v>
      </c>
      <c r="E443" t="s">
        <v>23</v>
      </c>
      <c r="F443">
        <v>12.19</v>
      </c>
      <c r="G443">
        <v>8</v>
      </c>
      <c r="H443">
        <v>4.8760000000000003</v>
      </c>
      <c r="I443">
        <f t="shared" si="6"/>
        <v>97.52</v>
      </c>
      <c r="J443">
        <v>102.396</v>
      </c>
    </row>
    <row r="444" spans="1:10" x14ac:dyDescent="0.35">
      <c r="A444" t="s">
        <v>10</v>
      </c>
      <c r="B444" t="s">
        <v>15</v>
      </c>
      <c r="C444" t="s">
        <v>16</v>
      </c>
      <c r="D444" t="s">
        <v>17</v>
      </c>
      <c r="E444" t="s">
        <v>14</v>
      </c>
      <c r="F444">
        <v>83.66</v>
      </c>
      <c r="G444">
        <v>5</v>
      </c>
      <c r="H444">
        <v>20.914999999999999</v>
      </c>
      <c r="I444">
        <f t="shared" si="6"/>
        <v>418.29999999999995</v>
      </c>
      <c r="J444">
        <v>439.21499999999997</v>
      </c>
    </row>
    <row r="445" spans="1:10" x14ac:dyDescent="0.35">
      <c r="A445" t="s">
        <v>10</v>
      </c>
      <c r="B445" t="s">
        <v>20</v>
      </c>
      <c r="C445" t="s">
        <v>21</v>
      </c>
      <c r="D445" t="s">
        <v>17</v>
      </c>
      <c r="E445" t="s">
        <v>18</v>
      </c>
      <c r="F445">
        <v>57.91</v>
      </c>
      <c r="G445">
        <v>8</v>
      </c>
      <c r="H445">
        <v>23.164000000000001</v>
      </c>
      <c r="I445">
        <f t="shared" si="6"/>
        <v>463.28</v>
      </c>
      <c r="J445">
        <v>486.44399999999996</v>
      </c>
    </row>
    <row r="446" spans="1:10" x14ac:dyDescent="0.35">
      <c r="A446" t="s">
        <v>10</v>
      </c>
      <c r="B446" t="s">
        <v>15</v>
      </c>
      <c r="C446" t="s">
        <v>16</v>
      </c>
      <c r="D446" t="s">
        <v>13</v>
      </c>
      <c r="E446" t="s">
        <v>23</v>
      </c>
      <c r="F446">
        <v>92.49</v>
      </c>
      <c r="G446">
        <v>5</v>
      </c>
      <c r="H446">
        <v>231.22499999999999</v>
      </c>
      <c r="I446">
        <f t="shared" si="6"/>
        <v>462.45</v>
      </c>
      <c r="J446">
        <v>693.67499999999995</v>
      </c>
    </row>
    <row r="447" spans="1:10" x14ac:dyDescent="0.35">
      <c r="A447" t="s">
        <v>10</v>
      </c>
      <c r="B447" t="s">
        <v>15</v>
      </c>
      <c r="C447" t="s">
        <v>16</v>
      </c>
      <c r="D447" t="s">
        <v>13</v>
      </c>
      <c r="E447" t="s">
        <v>22</v>
      </c>
      <c r="F447">
        <v>47.27</v>
      </c>
      <c r="G447">
        <v>6</v>
      </c>
      <c r="H447">
        <v>14.180999999999999</v>
      </c>
      <c r="I447">
        <f t="shared" si="6"/>
        <v>283.62</v>
      </c>
      <c r="J447">
        <v>297.80099999999999</v>
      </c>
    </row>
    <row r="448" spans="1:10" x14ac:dyDescent="0.35">
      <c r="A448" t="s">
        <v>10</v>
      </c>
      <c r="B448" t="s">
        <v>15</v>
      </c>
      <c r="C448" t="s">
        <v>16</v>
      </c>
      <c r="D448" t="s">
        <v>13</v>
      </c>
      <c r="E448" t="s">
        <v>18</v>
      </c>
      <c r="F448">
        <v>44.84</v>
      </c>
      <c r="G448">
        <v>9</v>
      </c>
      <c r="H448">
        <v>20.178000000000001</v>
      </c>
      <c r="I448">
        <f t="shared" si="6"/>
        <v>403.56000000000006</v>
      </c>
      <c r="J448">
        <v>423.73800000000006</v>
      </c>
    </row>
    <row r="449" spans="1:10" x14ac:dyDescent="0.35">
      <c r="A449" t="s">
        <v>10</v>
      </c>
      <c r="B449" t="s">
        <v>11</v>
      </c>
      <c r="C449" t="s">
        <v>12</v>
      </c>
      <c r="D449" t="s">
        <v>13</v>
      </c>
      <c r="E449" t="s">
        <v>14</v>
      </c>
      <c r="F449">
        <v>27.73</v>
      </c>
      <c r="G449">
        <v>5</v>
      </c>
      <c r="H449">
        <v>6.9325000000000001</v>
      </c>
      <c r="I449">
        <f t="shared" si="6"/>
        <v>138.65</v>
      </c>
      <c r="J449">
        <v>145.58250000000001</v>
      </c>
    </row>
    <row r="450" spans="1:10" x14ac:dyDescent="0.35">
      <c r="A450" t="s">
        <v>10</v>
      </c>
      <c r="B450" t="s">
        <v>15</v>
      </c>
      <c r="C450" t="s">
        <v>16</v>
      </c>
      <c r="D450" t="s">
        <v>17</v>
      </c>
      <c r="E450" t="s">
        <v>14</v>
      </c>
      <c r="F450">
        <v>58.32</v>
      </c>
      <c r="G450">
        <v>2</v>
      </c>
      <c r="H450">
        <v>5.8319999999999999</v>
      </c>
      <c r="I450">
        <f t="shared" si="6"/>
        <v>116.64</v>
      </c>
      <c r="J450">
        <v>122.47199999999999</v>
      </c>
    </row>
    <row r="451" spans="1:10" x14ac:dyDescent="0.35">
      <c r="A451" t="s">
        <v>10</v>
      </c>
      <c r="B451" t="s">
        <v>15</v>
      </c>
      <c r="C451" t="s">
        <v>16</v>
      </c>
      <c r="D451" t="s">
        <v>13</v>
      </c>
      <c r="E451" t="s">
        <v>19</v>
      </c>
      <c r="F451">
        <v>78.38</v>
      </c>
      <c r="G451">
        <v>4</v>
      </c>
      <c r="H451">
        <v>15.676</v>
      </c>
      <c r="I451">
        <f t="shared" ref="I451:I514" si="7">F451*G451</f>
        <v>313.52</v>
      </c>
      <c r="J451">
        <v>329.19599999999997</v>
      </c>
    </row>
    <row r="452" spans="1:10" x14ac:dyDescent="0.35">
      <c r="A452" t="s">
        <v>10</v>
      </c>
      <c r="B452" t="s">
        <v>20</v>
      </c>
      <c r="C452" t="s">
        <v>21</v>
      </c>
      <c r="D452" t="s">
        <v>17</v>
      </c>
      <c r="E452" t="s">
        <v>14</v>
      </c>
      <c r="F452">
        <v>82.88</v>
      </c>
      <c r="G452">
        <v>5</v>
      </c>
      <c r="H452">
        <v>20.72</v>
      </c>
      <c r="I452">
        <f t="shared" si="7"/>
        <v>414.4</v>
      </c>
      <c r="J452">
        <v>435.12</v>
      </c>
    </row>
    <row r="453" spans="1:10" x14ac:dyDescent="0.35">
      <c r="A453" t="s">
        <v>10</v>
      </c>
      <c r="B453" t="s">
        <v>11</v>
      </c>
      <c r="C453" t="s">
        <v>12</v>
      </c>
      <c r="D453" t="s">
        <v>13</v>
      </c>
      <c r="E453" t="s">
        <v>22</v>
      </c>
      <c r="F453">
        <v>79.540000000000006</v>
      </c>
      <c r="G453">
        <v>2</v>
      </c>
      <c r="H453">
        <v>7.9539999999999997</v>
      </c>
      <c r="I453">
        <f t="shared" si="7"/>
        <v>159.08000000000001</v>
      </c>
      <c r="J453">
        <v>167.03400000000002</v>
      </c>
    </row>
    <row r="454" spans="1:10" x14ac:dyDescent="0.35">
      <c r="A454" t="s">
        <v>10</v>
      </c>
      <c r="B454" t="s">
        <v>20</v>
      </c>
      <c r="C454" t="s">
        <v>21</v>
      </c>
      <c r="D454" t="s">
        <v>17</v>
      </c>
      <c r="E454" t="s">
        <v>19</v>
      </c>
      <c r="F454">
        <v>49.01</v>
      </c>
      <c r="G454">
        <v>10</v>
      </c>
      <c r="H454">
        <v>24.504999999999999</v>
      </c>
      <c r="I454">
        <f t="shared" si="7"/>
        <v>490.09999999999997</v>
      </c>
      <c r="J454">
        <v>514.60500000000002</v>
      </c>
    </row>
    <row r="455" spans="1:10" x14ac:dyDescent="0.35">
      <c r="A455" t="s">
        <v>10</v>
      </c>
      <c r="B455" t="s">
        <v>20</v>
      </c>
      <c r="C455" t="s">
        <v>21</v>
      </c>
      <c r="D455" t="s">
        <v>13</v>
      </c>
      <c r="E455" t="s">
        <v>22</v>
      </c>
      <c r="F455">
        <v>29.15</v>
      </c>
      <c r="G455">
        <v>3</v>
      </c>
      <c r="H455">
        <v>4.3724999999999996</v>
      </c>
      <c r="I455">
        <f t="shared" si="7"/>
        <v>87.449999999999989</v>
      </c>
      <c r="J455">
        <v>91.822499999999991</v>
      </c>
    </row>
    <row r="456" spans="1:10" x14ac:dyDescent="0.35">
      <c r="A456" t="s">
        <v>10</v>
      </c>
      <c r="B456" t="s">
        <v>15</v>
      </c>
      <c r="C456" t="s">
        <v>16</v>
      </c>
      <c r="D456" t="s">
        <v>17</v>
      </c>
      <c r="E456" t="s">
        <v>18</v>
      </c>
      <c r="F456">
        <v>56.13</v>
      </c>
      <c r="G456">
        <v>4</v>
      </c>
      <c r="H456">
        <v>11.226000000000001</v>
      </c>
      <c r="I456">
        <f t="shared" si="7"/>
        <v>224.52</v>
      </c>
      <c r="J456">
        <v>235.74600000000001</v>
      </c>
    </row>
    <row r="457" spans="1:10" x14ac:dyDescent="0.35">
      <c r="A457" t="s">
        <v>10</v>
      </c>
      <c r="B457" t="s">
        <v>11</v>
      </c>
      <c r="C457" t="s">
        <v>12</v>
      </c>
      <c r="D457" t="s">
        <v>17</v>
      </c>
      <c r="E457" t="s">
        <v>19</v>
      </c>
      <c r="F457">
        <v>93.12</v>
      </c>
      <c r="G457">
        <v>8</v>
      </c>
      <c r="H457">
        <v>37.247999999999998</v>
      </c>
      <c r="I457">
        <f t="shared" si="7"/>
        <v>744.96</v>
      </c>
      <c r="J457">
        <v>782.20800000000008</v>
      </c>
    </row>
    <row r="458" spans="1:10" x14ac:dyDescent="0.35">
      <c r="A458" t="s">
        <v>10</v>
      </c>
      <c r="B458" t="s">
        <v>11</v>
      </c>
      <c r="C458" t="s">
        <v>12</v>
      </c>
      <c r="D458" t="s">
        <v>13</v>
      </c>
      <c r="E458" t="s">
        <v>22</v>
      </c>
      <c r="F458">
        <v>99.6</v>
      </c>
      <c r="G458">
        <v>3</v>
      </c>
      <c r="H458">
        <v>14.94</v>
      </c>
      <c r="I458">
        <f t="shared" si="7"/>
        <v>298.79999999999995</v>
      </c>
      <c r="J458">
        <v>313.73999999999995</v>
      </c>
    </row>
    <row r="459" spans="1:10" x14ac:dyDescent="0.35">
      <c r="A459" t="s">
        <v>10</v>
      </c>
      <c r="B459" t="s">
        <v>15</v>
      </c>
      <c r="C459" t="s">
        <v>16</v>
      </c>
      <c r="D459" t="s">
        <v>17</v>
      </c>
      <c r="E459" t="s">
        <v>18</v>
      </c>
      <c r="F459">
        <v>35.49</v>
      </c>
      <c r="G459">
        <v>6</v>
      </c>
      <c r="H459">
        <v>10.647</v>
      </c>
      <c r="I459">
        <f t="shared" si="7"/>
        <v>212.94</v>
      </c>
      <c r="J459">
        <v>223.58699999999999</v>
      </c>
    </row>
    <row r="460" spans="1:10" x14ac:dyDescent="0.35">
      <c r="A460" t="s">
        <v>10</v>
      </c>
      <c r="B460" t="s">
        <v>11</v>
      </c>
      <c r="C460" t="s">
        <v>12</v>
      </c>
      <c r="D460" t="s">
        <v>17</v>
      </c>
      <c r="E460" t="s">
        <v>23</v>
      </c>
      <c r="F460">
        <v>94.67</v>
      </c>
      <c r="G460">
        <v>4</v>
      </c>
      <c r="H460">
        <v>18.934000000000001</v>
      </c>
      <c r="I460">
        <f t="shared" si="7"/>
        <v>378.68</v>
      </c>
      <c r="J460">
        <v>397.61400000000003</v>
      </c>
    </row>
    <row r="461" spans="1:10" x14ac:dyDescent="0.35">
      <c r="A461" t="s">
        <v>10</v>
      </c>
      <c r="B461" t="s">
        <v>20</v>
      </c>
      <c r="C461" t="s">
        <v>21</v>
      </c>
      <c r="D461" t="s">
        <v>13</v>
      </c>
      <c r="E461" t="s">
        <v>18</v>
      </c>
      <c r="F461">
        <v>26.26</v>
      </c>
      <c r="G461">
        <v>3</v>
      </c>
      <c r="H461">
        <v>3.9390000000000001</v>
      </c>
      <c r="I461">
        <f t="shared" si="7"/>
        <v>78.78</v>
      </c>
      <c r="J461">
        <v>82.718999999999994</v>
      </c>
    </row>
    <row r="462" spans="1:10" x14ac:dyDescent="0.35">
      <c r="A462" t="s">
        <v>10</v>
      </c>
      <c r="B462" t="s">
        <v>15</v>
      </c>
      <c r="C462" t="s">
        <v>16</v>
      </c>
      <c r="D462" t="s">
        <v>13</v>
      </c>
      <c r="E462" t="s">
        <v>19</v>
      </c>
      <c r="F462">
        <v>35.79</v>
      </c>
      <c r="G462">
        <v>9</v>
      </c>
      <c r="H462">
        <v>161.05500000000001</v>
      </c>
      <c r="I462">
        <f t="shared" si="7"/>
        <v>322.11</v>
      </c>
      <c r="J462">
        <v>483.16500000000002</v>
      </c>
    </row>
    <row r="463" spans="1:10" x14ac:dyDescent="0.35">
      <c r="A463" t="s">
        <v>10</v>
      </c>
      <c r="B463" t="s">
        <v>20</v>
      </c>
      <c r="C463" t="s">
        <v>21</v>
      </c>
      <c r="D463" t="s">
        <v>17</v>
      </c>
      <c r="E463" t="s">
        <v>19</v>
      </c>
      <c r="F463">
        <v>16.37</v>
      </c>
      <c r="G463">
        <v>6</v>
      </c>
      <c r="H463">
        <v>4.9109999999999996</v>
      </c>
      <c r="I463">
        <f t="shared" si="7"/>
        <v>98.22</v>
      </c>
      <c r="J463">
        <v>103.131</v>
      </c>
    </row>
    <row r="464" spans="1:10" x14ac:dyDescent="0.35">
      <c r="A464" t="s">
        <v>10</v>
      </c>
      <c r="B464" t="s">
        <v>15</v>
      </c>
      <c r="C464" t="s">
        <v>16</v>
      </c>
      <c r="D464" t="s">
        <v>13</v>
      </c>
      <c r="E464" t="s">
        <v>19</v>
      </c>
      <c r="F464">
        <v>12.73</v>
      </c>
      <c r="G464">
        <v>2</v>
      </c>
      <c r="H464">
        <v>1.2729999999999999</v>
      </c>
      <c r="I464">
        <f t="shared" si="7"/>
        <v>25.46</v>
      </c>
      <c r="J464">
        <v>26.733000000000001</v>
      </c>
    </row>
    <row r="465" spans="1:10" x14ac:dyDescent="0.35">
      <c r="A465" t="s">
        <v>10</v>
      </c>
      <c r="B465" t="s">
        <v>15</v>
      </c>
      <c r="C465" t="s">
        <v>16</v>
      </c>
      <c r="D465" t="s">
        <v>17</v>
      </c>
      <c r="E465" t="s">
        <v>24</v>
      </c>
      <c r="F465">
        <v>83.14</v>
      </c>
      <c r="G465">
        <v>7</v>
      </c>
      <c r="H465">
        <v>29.099</v>
      </c>
      <c r="I465">
        <f t="shared" si="7"/>
        <v>581.98</v>
      </c>
      <c r="J465">
        <v>611.07900000000006</v>
      </c>
    </row>
    <row r="466" spans="1:10" x14ac:dyDescent="0.35">
      <c r="A466" t="s">
        <v>10</v>
      </c>
      <c r="B466" t="s">
        <v>15</v>
      </c>
      <c r="C466" t="s">
        <v>16</v>
      </c>
      <c r="D466" t="s">
        <v>13</v>
      </c>
      <c r="E466" t="s">
        <v>24</v>
      </c>
      <c r="F466">
        <v>35.22</v>
      </c>
      <c r="G466">
        <v>6</v>
      </c>
      <c r="H466">
        <v>10.566000000000001</v>
      </c>
      <c r="I466">
        <f t="shared" si="7"/>
        <v>211.32</v>
      </c>
      <c r="J466">
        <v>221.886</v>
      </c>
    </row>
    <row r="467" spans="1:10" x14ac:dyDescent="0.35">
      <c r="A467" t="s">
        <v>10</v>
      </c>
      <c r="B467" t="s">
        <v>20</v>
      </c>
      <c r="C467" t="s">
        <v>21</v>
      </c>
      <c r="D467" t="s">
        <v>17</v>
      </c>
      <c r="E467" t="s">
        <v>18</v>
      </c>
      <c r="F467">
        <v>13.78</v>
      </c>
      <c r="G467">
        <v>4</v>
      </c>
      <c r="H467">
        <v>2.7559999999999998</v>
      </c>
      <c r="I467">
        <f t="shared" si="7"/>
        <v>55.12</v>
      </c>
      <c r="J467">
        <v>57.875999999999998</v>
      </c>
    </row>
    <row r="468" spans="1:10" x14ac:dyDescent="0.35">
      <c r="A468" t="s">
        <v>10</v>
      </c>
      <c r="B468" t="s">
        <v>11</v>
      </c>
      <c r="C468" t="s">
        <v>12</v>
      </c>
      <c r="D468" t="s">
        <v>13</v>
      </c>
      <c r="E468" t="s">
        <v>14</v>
      </c>
      <c r="F468">
        <v>39.619999999999997</v>
      </c>
      <c r="G468">
        <v>9</v>
      </c>
      <c r="H468">
        <v>17.829000000000001</v>
      </c>
      <c r="I468">
        <f t="shared" si="7"/>
        <v>356.58</v>
      </c>
      <c r="J468">
        <v>374.40899999999999</v>
      </c>
    </row>
    <row r="469" spans="1:10" x14ac:dyDescent="0.35">
      <c r="A469" t="s">
        <v>10</v>
      </c>
      <c r="B469" t="s">
        <v>20</v>
      </c>
      <c r="C469" t="s">
        <v>21</v>
      </c>
      <c r="D469" t="s">
        <v>17</v>
      </c>
      <c r="E469" t="s">
        <v>18</v>
      </c>
      <c r="F469">
        <v>88.25</v>
      </c>
      <c r="G469">
        <v>9</v>
      </c>
      <c r="H469">
        <v>397.125</v>
      </c>
      <c r="I469">
        <f t="shared" si="7"/>
        <v>794.25</v>
      </c>
      <c r="J469">
        <v>1191.375</v>
      </c>
    </row>
    <row r="470" spans="1:10" x14ac:dyDescent="0.35">
      <c r="A470" t="s">
        <v>10</v>
      </c>
      <c r="B470" t="s">
        <v>15</v>
      </c>
      <c r="C470" t="s">
        <v>16</v>
      </c>
      <c r="D470" t="s">
        <v>13</v>
      </c>
      <c r="E470" t="s">
        <v>23</v>
      </c>
      <c r="F470">
        <v>83.35</v>
      </c>
      <c r="G470">
        <v>2</v>
      </c>
      <c r="H470">
        <v>8.3350000000000009</v>
      </c>
      <c r="I470">
        <f t="shared" si="7"/>
        <v>166.7</v>
      </c>
      <c r="J470">
        <v>175.035</v>
      </c>
    </row>
    <row r="471" spans="1:10" x14ac:dyDescent="0.35">
      <c r="A471" t="s">
        <v>10</v>
      </c>
      <c r="B471" t="s">
        <v>11</v>
      </c>
      <c r="C471" t="s">
        <v>12</v>
      </c>
      <c r="D471" t="s">
        <v>17</v>
      </c>
      <c r="E471" t="s">
        <v>22</v>
      </c>
      <c r="F471">
        <v>74.44</v>
      </c>
      <c r="G471">
        <v>10</v>
      </c>
      <c r="H471">
        <v>37.22</v>
      </c>
      <c r="I471">
        <f t="shared" si="7"/>
        <v>744.4</v>
      </c>
      <c r="J471">
        <v>781.62</v>
      </c>
    </row>
    <row r="472" spans="1:10" x14ac:dyDescent="0.35">
      <c r="A472" t="s">
        <v>10</v>
      </c>
      <c r="B472" t="s">
        <v>20</v>
      </c>
      <c r="C472" t="s">
        <v>21</v>
      </c>
      <c r="D472" t="s">
        <v>17</v>
      </c>
      <c r="E472" t="s">
        <v>19</v>
      </c>
      <c r="F472">
        <v>63.15</v>
      </c>
      <c r="G472">
        <v>6</v>
      </c>
      <c r="H472">
        <v>18.945</v>
      </c>
      <c r="I472">
        <f t="shared" si="7"/>
        <v>378.9</v>
      </c>
      <c r="J472">
        <v>397.84499999999997</v>
      </c>
    </row>
    <row r="473" spans="1:10" x14ac:dyDescent="0.35">
      <c r="A473" t="s">
        <v>10</v>
      </c>
      <c r="B473" t="s">
        <v>15</v>
      </c>
      <c r="C473" t="s">
        <v>16</v>
      </c>
      <c r="D473" t="s">
        <v>17</v>
      </c>
      <c r="E473" t="s">
        <v>14</v>
      </c>
      <c r="F473">
        <v>78.89</v>
      </c>
      <c r="G473">
        <v>7</v>
      </c>
      <c r="H473">
        <v>276.11500000000001</v>
      </c>
      <c r="I473">
        <f t="shared" si="7"/>
        <v>552.23</v>
      </c>
      <c r="J473">
        <v>828.34500000000003</v>
      </c>
    </row>
    <row r="474" spans="1:10" x14ac:dyDescent="0.35">
      <c r="A474" t="s">
        <v>10</v>
      </c>
      <c r="B474" t="s">
        <v>11</v>
      </c>
      <c r="C474" t="s">
        <v>12</v>
      </c>
      <c r="D474" t="s">
        <v>17</v>
      </c>
      <c r="E474" t="s">
        <v>24</v>
      </c>
      <c r="F474">
        <v>89.48</v>
      </c>
      <c r="G474">
        <v>5</v>
      </c>
      <c r="H474">
        <v>22.37</v>
      </c>
      <c r="I474">
        <f t="shared" si="7"/>
        <v>447.40000000000003</v>
      </c>
      <c r="J474">
        <v>469.77000000000004</v>
      </c>
    </row>
    <row r="475" spans="1:10" x14ac:dyDescent="0.35">
      <c r="A475" t="s">
        <v>10</v>
      </c>
      <c r="B475" t="s">
        <v>11</v>
      </c>
      <c r="C475" t="s">
        <v>12</v>
      </c>
      <c r="D475" t="s">
        <v>13</v>
      </c>
      <c r="E475" t="s">
        <v>14</v>
      </c>
      <c r="F475">
        <v>92.09</v>
      </c>
      <c r="G475">
        <v>3</v>
      </c>
      <c r="H475">
        <v>138.13499999999999</v>
      </c>
      <c r="I475">
        <f t="shared" si="7"/>
        <v>276.27</v>
      </c>
      <c r="J475">
        <v>414.40499999999997</v>
      </c>
    </row>
    <row r="476" spans="1:10" x14ac:dyDescent="0.35">
      <c r="A476" t="s">
        <v>10</v>
      </c>
      <c r="B476" t="s">
        <v>15</v>
      </c>
      <c r="C476" t="s">
        <v>16</v>
      </c>
      <c r="D476" t="s">
        <v>17</v>
      </c>
      <c r="E476" t="s">
        <v>22</v>
      </c>
      <c r="F476">
        <v>57.29</v>
      </c>
      <c r="G476">
        <v>6</v>
      </c>
      <c r="H476">
        <v>17.187000000000001</v>
      </c>
      <c r="I476">
        <f t="shared" si="7"/>
        <v>343.74</v>
      </c>
      <c r="J476">
        <v>360.92700000000002</v>
      </c>
    </row>
    <row r="477" spans="1:10" x14ac:dyDescent="0.35">
      <c r="A477" t="s">
        <v>10</v>
      </c>
      <c r="B477" t="s">
        <v>11</v>
      </c>
      <c r="C477" t="s">
        <v>12</v>
      </c>
      <c r="D477" t="s">
        <v>17</v>
      </c>
      <c r="E477" t="s">
        <v>19</v>
      </c>
      <c r="F477">
        <v>45.68</v>
      </c>
      <c r="G477">
        <v>10</v>
      </c>
      <c r="H477">
        <v>22.84</v>
      </c>
      <c r="I477">
        <f t="shared" si="7"/>
        <v>456.8</v>
      </c>
      <c r="J477">
        <v>479.64</v>
      </c>
    </row>
    <row r="478" spans="1:10" x14ac:dyDescent="0.35">
      <c r="A478" t="s">
        <v>10</v>
      </c>
      <c r="B478" t="s">
        <v>11</v>
      </c>
      <c r="C478" t="s">
        <v>12</v>
      </c>
      <c r="D478" t="s">
        <v>17</v>
      </c>
      <c r="E478" t="s">
        <v>18</v>
      </c>
      <c r="F478">
        <v>93.88</v>
      </c>
      <c r="G478">
        <v>7</v>
      </c>
      <c r="H478">
        <v>32.857999999999997</v>
      </c>
      <c r="I478">
        <f t="shared" si="7"/>
        <v>657.16</v>
      </c>
      <c r="J478">
        <v>690.01799999999992</v>
      </c>
    </row>
    <row r="479" spans="1:10" x14ac:dyDescent="0.35">
      <c r="A479" t="s">
        <v>10</v>
      </c>
      <c r="B479" t="s">
        <v>20</v>
      </c>
      <c r="C479" t="s">
        <v>21</v>
      </c>
      <c r="D479" t="s">
        <v>17</v>
      </c>
      <c r="E479" t="s">
        <v>22</v>
      </c>
      <c r="F479">
        <v>26.43</v>
      </c>
      <c r="G479">
        <v>8</v>
      </c>
      <c r="H479">
        <v>10.571999999999999</v>
      </c>
      <c r="I479">
        <f t="shared" si="7"/>
        <v>211.44</v>
      </c>
      <c r="J479">
        <v>222.012</v>
      </c>
    </row>
    <row r="480" spans="1:10" x14ac:dyDescent="0.35">
      <c r="A480" t="s">
        <v>10</v>
      </c>
      <c r="B480" t="s">
        <v>20</v>
      </c>
      <c r="C480" t="s">
        <v>21</v>
      </c>
      <c r="D480" t="s">
        <v>13</v>
      </c>
      <c r="E480" t="s">
        <v>19</v>
      </c>
      <c r="F480">
        <v>21.9</v>
      </c>
      <c r="G480">
        <v>3</v>
      </c>
      <c r="H480">
        <v>3.2850000000000001</v>
      </c>
      <c r="I480">
        <f t="shared" si="7"/>
        <v>65.699999999999989</v>
      </c>
      <c r="J480">
        <v>68.984999999999985</v>
      </c>
    </row>
    <row r="481" spans="1:10" x14ac:dyDescent="0.35">
      <c r="A481" t="s">
        <v>10</v>
      </c>
      <c r="B481" t="s">
        <v>20</v>
      </c>
      <c r="C481" t="s">
        <v>21</v>
      </c>
      <c r="D481" t="s">
        <v>13</v>
      </c>
      <c r="E481" t="s">
        <v>22</v>
      </c>
      <c r="F481">
        <v>62.85</v>
      </c>
      <c r="G481">
        <v>4</v>
      </c>
      <c r="H481">
        <v>12.57</v>
      </c>
      <c r="I481">
        <f t="shared" si="7"/>
        <v>251.4</v>
      </c>
      <c r="J481">
        <v>263.97000000000003</v>
      </c>
    </row>
    <row r="482" spans="1:10" x14ac:dyDescent="0.35">
      <c r="A482" t="s">
        <v>10</v>
      </c>
      <c r="B482" t="s">
        <v>15</v>
      </c>
      <c r="C482" t="s">
        <v>16</v>
      </c>
      <c r="D482" t="s">
        <v>13</v>
      </c>
      <c r="E482" t="s">
        <v>22</v>
      </c>
      <c r="F482">
        <v>21.04</v>
      </c>
      <c r="G482">
        <v>4</v>
      </c>
      <c r="H482">
        <v>4.2080000000000002</v>
      </c>
      <c r="I482">
        <f t="shared" si="7"/>
        <v>84.16</v>
      </c>
      <c r="J482">
        <v>88.367999999999995</v>
      </c>
    </row>
    <row r="483" spans="1:10" x14ac:dyDescent="0.35">
      <c r="A483" t="s">
        <v>10</v>
      </c>
      <c r="B483" t="s">
        <v>11</v>
      </c>
      <c r="C483" t="s">
        <v>12</v>
      </c>
      <c r="D483" t="s">
        <v>17</v>
      </c>
      <c r="E483" t="s">
        <v>23</v>
      </c>
      <c r="F483">
        <v>42.57</v>
      </c>
      <c r="G483">
        <v>7</v>
      </c>
      <c r="H483">
        <v>148.995</v>
      </c>
      <c r="I483">
        <f t="shared" si="7"/>
        <v>297.99</v>
      </c>
      <c r="J483">
        <v>446.98500000000001</v>
      </c>
    </row>
    <row r="484" spans="1:10" x14ac:dyDescent="0.35">
      <c r="A484" t="s">
        <v>10</v>
      </c>
      <c r="B484" t="s">
        <v>15</v>
      </c>
      <c r="C484" t="s">
        <v>16</v>
      </c>
      <c r="D484" t="s">
        <v>17</v>
      </c>
      <c r="E484" t="s">
        <v>19</v>
      </c>
      <c r="F484">
        <v>15.8</v>
      </c>
      <c r="G484">
        <v>10</v>
      </c>
      <c r="H484">
        <v>7.9</v>
      </c>
      <c r="I484">
        <f t="shared" si="7"/>
        <v>158</v>
      </c>
      <c r="J484">
        <v>165.9</v>
      </c>
    </row>
    <row r="485" spans="1:10" x14ac:dyDescent="0.35">
      <c r="A485" t="s">
        <v>10</v>
      </c>
      <c r="B485" t="s">
        <v>11</v>
      </c>
      <c r="C485" t="s">
        <v>12</v>
      </c>
      <c r="D485" t="s">
        <v>13</v>
      </c>
      <c r="E485" t="s">
        <v>22</v>
      </c>
      <c r="F485">
        <v>98.66</v>
      </c>
      <c r="G485">
        <v>9</v>
      </c>
      <c r="H485">
        <v>44.396999999999998</v>
      </c>
      <c r="I485">
        <f t="shared" si="7"/>
        <v>887.93999999999994</v>
      </c>
      <c r="J485">
        <v>932.33699999999999</v>
      </c>
    </row>
    <row r="486" spans="1:10" x14ac:dyDescent="0.35">
      <c r="A486" t="s">
        <v>10</v>
      </c>
      <c r="B486" t="s">
        <v>11</v>
      </c>
      <c r="C486" t="s">
        <v>12</v>
      </c>
      <c r="D486" t="s">
        <v>17</v>
      </c>
      <c r="E486" t="s">
        <v>23</v>
      </c>
      <c r="F486">
        <v>15.5</v>
      </c>
      <c r="G486">
        <v>1</v>
      </c>
      <c r="H486">
        <v>775</v>
      </c>
      <c r="I486">
        <f t="shared" si="7"/>
        <v>15.5</v>
      </c>
      <c r="J486">
        <v>790.5</v>
      </c>
    </row>
    <row r="487" spans="1:10" x14ac:dyDescent="0.35">
      <c r="A487" t="s">
        <v>10</v>
      </c>
      <c r="B487" t="s">
        <v>20</v>
      </c>
      <c r="C487" t="s">
        <v>21</v>
      </c>
      <c r="D487" t="s">
        <v>17</v>
      </c>
      <c r="E487" t="s">
        <v>18</v>
      </c>
      <c r="F487">
        <v>38.270000000000003</v>
      </c>
      <c r="G487">
        <v>2</v>
      </c>
      <c r="H487">
        <v>3.827</v>
      </c>
      <c r="I487">
        <f t="shared" si="7"/>
        <v>76.540000000000006</v>
      </c>
      <c r="J487">
        <v>80.367000000000004</v>
      </c>
    </row>
    <row r="488" spans="1:10" x14ac:dyDescent="0.35">
      <c r="A488" t="s">
        <v>10</v>
      </c>
      <c r="B488" t="s">
        <v>11</v>
      </c>
      <c r="C488" t="s">
        <v>12</v>
      </c>
      <c r="D488" t="s">
        <v>17</v>
      </c>
      <c r="E488" t="s">
        <v>19</v>
      </c>
      <c r="F488">
        <v>33.299999999999997</v>
      </c>
      <c r="G488">
        <v>9</v>
      </c>
      <c r="H488">
        <v>14.984999999999999</v>
      </c>
      <c r="I488">
        <f t="shared" si="7"/>
        <v>299.7</v>
      </c>
      <c r="J488">
        <v>314.685</v>
      </c>
    </row>
    <row r="489" spans="1:10" x14ac:dyDescent="0.35">
      <c r="A489" t="s">
        <v>10</v>
      </c>
      <c r="B489" t="s">
        <v>11</v>
      </c>
      <c r="C489" t="s">
        <v>12</v>
      </c>
      <c r="D489" t="s">
        <v>17</v>
      </c>
      <c r="E489" t="s">
        <v>14</v>
      </c>
      <c r="F489">
        <v>15.8</v>
      </c>
      <c r="G489">
        <v>3</v>
      </c>
      <c r="H489">
        <v>2.37</v>
      </c>
      <c r="I489">
        <f t="shared" si="7"/>
        <v>47.400000000000006</v>
      </c>
      <c r="J489">
        <v>49.77</v>
      </c>
    </row>
    <row r="490" spans="1:10" x14ac:dyDescent="0.35">
      <c r="A490" t="s">
        <v>10</v>
      </c>
      <c r="B490" t="s">
        <v>20</v>
      </c>
      <c r="C490" t="s">
        <v>21</v>
      </c>
      <c r="D490" t="s">
        <v>13</v>
      </c>
      <c r="E490" t="s">
        <v>18</v>
      </c>
      <c r="F490">
        <v>34.49</v>
      </c>
      <c r="G490">
        <v>5</v>
      </c>
      <c r="H490">
        <v>8.6225000000000005</v>
      </c>
      <c r="I490">
        <f t="shared" si="7"/>
        <v>172.45000000000002</v>
      </c>
      <c r="J490">
        <v>181.07250000000002</v>
      </c>
    </row>
    <row r="491" spans="1:10" x14ac:dyDescent="0.35">
      <c r="A491" t="s">
        <v>10</v>
      </c>
      <c r="B491" t="s">
        <v>20</v>
      </c>
      <c r="C491" t="s">
        <v>21</v>
      </c>
      <c r="D491" t="s">
        <v>13</v>
      </c>
      <c r="E491" t="s">
        <v>22</v>
      </c>
      <c r="F491">
        <v>84.63</v>
      </c>
      <c r="G491">
        <v>10</v>
      </c>
      <c r="H491">
        <v>42.314999999999998</v>
      </c>
      <c r="I491">
        <f t="shared" si="7"/>
        <v>846.3</v>
      </c>
      <c r="J491">
        <v>888.61500000000001</v>
      </c>
    </row>
    <row r="492" spans="1:10" x14ac:dyDescent="0.35">
      <c r="A492" t="s">
        <v>10</v>
      </c>
      <c r="B492" t="s">
        <v>11</v>
      </c>
      <c r="C492" t="s">
        <v>12</v>
      </c>
      <c r="D492" t="s">
        <v>17</v>
      </c>
      <c r="E492" t="s">
        <v>22</v>
      </c>
      <c r="F492">
        <v>74.66</v>
      </c>
      <c r="G492">
        <v>4</v>
      </c>
      <c r="H492">
        <v>14.932</v>
      </c>
      <c r="I492">
        <f t="shared" si="7"/>
        <v>298.64</v>
      </c>
      <c r="J492">
        <v>313.572</v>
      </c>
    </row>
    <row r="493" spans="1:10" x14ac:dyDescent="0.35">
      <c r="A493" t="s">
        <v>10</v>
      </c>
      <c r="B493" t="s">
        <v>20</v>
      </c>
      <c r="C493" t="s">
        <v>21</v>
      </c>
      <c r="D493" t="s">
        <v>17</v>
      </c>
      <c r="E493" t="s">
        <v>18</v>
      </c>
      <c r="F493">
        <v>25.45</v>
      </c>
      <c r="G493">
        <v>1</v>
      </c>
      <c r="H493">
        <v>1.2725</v>
      </c>
      <c r="I493">
        <f t="shared" si="7"/>
        <v>25.45</v>
      </c>
      <c r="J493">
        <v>26.7225</v>
      </c>
    </row>
    <row r="494" spans="1:10" x14ac:dyDescent="0.35">
      <c r="A494" t="s">
        <v>10</v>
      </c>
      <c r="B494" t="s">
        <v>20</v>
      </c>
      <c r="C494" t="s">
        <v>21</v>
      </c>
      <c r="D494" t="s">
        <v>17</v>
      </c>
      <c r="E494" t="s">
        <v>22</v>
      </c>
      <c r="F494">
        <v>67.77</v>
      </c>
      <c r="G494">
        <v>1</v>
      </c>
      <c r="H494">
        <v>3.3885000000000001</v>
      </c>
      <c r="I494">
        <f t="shared" si="7"/>
        <v>67.77</v>
      </c>
      <c r="J494">
        <v>71.158499999999989</v>
      </c>
    </row>
    <row r="495" spans="1:10" x14ac:dyDescent="0.35">
      <c r="A495" t="s">
        <v>10</v>
      </c>
      <c r="B495" t="s">
        <v>11</v>
      </c>
      <c r="C495" t="s">
        <v>12</v>
      </c>
      <c r="D495" t="s">
        <v>13</v>
      </c>
      <c r="E495" t="s">
        <v>24</v>
      </c>
      <c r="F495">
        <v>97.48</v>
      </c>
      <c r="G495">
        <v>9</v>
      </c>
      <c r="H495">
        <v>43.866</v>
      </c>
      <c r="I495">
        <f t="shared" si="7"/>
        <v>877.32</v>
      </c>
      <c r="J495">
        <v>921.18600000000004</v>
      </c>
    </row>
    <row r="496" spans="1:10" x14ac:dyDescent="0.35">
      <c r="A496" t="s">
        <v>10</v>
      </c>
      <c r="B496" t="s">
        <v>20</v>
      </c>
      <c r="C496" t="s">
        <v>21</v>
      </c>
      <c r="D496" t="s">
        <v>17</v>
      </c>
      <c r="E496" t="s">
        <v>23</v>
      </c>
      <c r="F496">
        <v>63.71</v>
      </c>
      <c r="G496">
        <v>5</v>
      </c>
      <c r="H496">
        <v>159.27500000000001</v>
      </c>
      <c r="I496">
        <f t="shared" si="7"/>
        <v>318.55</v>
      </c>
      <c r="J496">
        <v>477.82500000000005</v>
      </c>
    </row>
    <row r="497" spans="1:10" x14ac:dyDescent="0.35">
      <c r="A497" t="s">
        <v>10</v>
      </c>
      <c r="B497" t="s">
        <v>20</v>
      </c>
      <c r="C497" t="s">
        <v>21</v>
      </c>
      <c r="D497" t="s">
        <v>17</v>
      </c>
      <c r="E497" t="s">
        <v>14</v>
      </c>
      <c r="F497">
        <v>14.76</v>
      </c>
      <c r="G497">
        <v>2</v>
      </c>
      <c r="H497">
        <v>1.476</v>
      </c>
      <c r="I497">
        <f t="shared" si="7"/>
        <v>29.52</v>
      </c>
      <c r="J497">
        <v>30.995999999999999</v>
      </c>
    </row>
    <row r="498" spans="1:10" x14ac:dyDescent="0.35">
      <c r="A498" t="s">
        <v>10</v>
      </c>
      <c r="B498" t="s">
        <v>11</v>
      </c>
      <c r="C498" t="s">
        <v>12</v>
      </c>
      <c r="D498" t="s">
        <v>17</v>
      </c>
      <c r="E498" t="s">
        <v>22</v>
      </c>
      <c r="F498">
        <v>56.56</v>
      </c>
      <c r="G498">
        <v>5</v>
      </c>
      <c r="H498">
        <v>14.14</v>
      </c>
      <c r="I498">
        <f t="shared" si="7"/>
        <v>282.8</v>
      </c>
      <c r="J498">
        <v>296.94</v>
      </c>
    </row>
    <row r="499" spans="1:10" x14ac:dyDescent="0.35">
      <c r="A499" t="s">
        <v>10</v>
      </c>
      <c r="B499" t="s">
        <v>20</v>
      </c>
      <c r="C499" t="s">
        <v>21</v>
      </c>
      <c r="D499" t="s">
        <v>17</v>
      </c>
      <c r="E499" t="s">
        <v>24</v>
      </c>
      <c r="F499">
        <v>76.599999999999994</v>
      </c>
      <c r="G499">
        <v>10</v>
      </c>
      <c r="H499">
        <v>38.299999999999997</v>
      </c>
      <c r="I499">
        <f t="shared" si="7"/>
        <v>766</v>
      </c>
      <c r="J499">
        <v>804.3</v>
      </c>
    </row>
    <row r="500" spans="1:10" x14ac:dyDescent="0.35">
      <c r="A500" t="s">
        <v>10</v>
      </c>
      <c r="B500" t="s">
        <v>15</v>
      </c>
      <c r="C500" t="s">
        <v>16</v>
      </c>
      <c r="D500" t="s">
        <v>13</v>
      </c>
      <c r="E500" t="s">
        <v>18</v>
      </c>
      <c r="F500">
        <v>60.95</v>
      </c>
      <c r="G500">
        <v>1</v>
      </c>
      <c r="H500">
        <v>3.0474999999999999</v>
      </c>
      <c r="I500">
        <f t="shared" si="7"/>
        <v>60.95</v>
      </c>
      <c r="J500">
        <v>63.997500000000002</v>
      </c>
    </row>
    <row r="501" spans="1:10" x14ac:dyDescent="0.35">
      <c r="A501" t="s">
        <v>10</v>
      </c>
      <c r="B501" t="s">
        <v>20</v>
      </c>
      <c r="C501" t="s">
        <v>21</v>
      </c>
      <c r="D501" t="s">
        <v>17</v>
      </c>
      <c r="E501" t="s">
        <v>19</v>
      </c>
      <c r="F501">
        <v>97.38</v>
      </c>
      <c r="G501">
        <v>10</v>
      </c>
      <c r="H501">
        <v>48.69</v>
      </c>
      <c r="I501">
        <f t="shared" si="7"/>
        <v>973.8</v>
      </c>
      <c r="J501">
        <v>1022.49</v>
      </c>
    </row>
    <row r="502" spans="1:10" x14ac:dyDescent="0.35">
      <c r="A502" t="s">
        <v>10</v>
      </c>
      <c r="B502" t="s">
        <v>11</v>
      </c>
      <c r="C502" t="s">
        <v>12</v>
      </c>
      <c r="D502" t="s">
        <v>13</v>
      </c>
      <c r="E502" t="s">
        <v>23</v>
      </c>
      <c r="F502">
        <v>88.34</v>
      </c>
      <c r="G502">
        <v>7</v>
      </c>
      <c r="H502">
        <v>30.919</v>
      </c>
      <c r="I502">
        <f t="shared" si="7"/>
        <v>618.38</v>
      </c>
      <c r="J502">
        <v>649.29899999999998</v>
      </c>
    </row>
    <row r="503" spans="1:10" x14ac:dyDescent="0.35">
      <c r="A503" t="s">
        <v>25</v>
      </c>
      <c r="B503" t="s">
        <v>11</v>
      </c>
      <c r="C503" t="s">
        <v>12</v>
      </c>
      <c r="D503" t="s">
        <v>17</v>
      </c>
      <c r="E503" t="s">
        <v>19</v>
      </c>
      <c r="F503">
        <v>46.33</v>
      </c>
      <c r="G503">
        <v>7</v>
      </c>
      <c r="H503">
        <v>162.155</v>
      </c>
      <c r="I503">
        <f t="shared" si="7"/>
        <v>324.31</v>
      </c>
      <c r="J503">
        <v>486.46500000000003</v>
      </c>
    </row>
    <row r="504" spans="1:10" x14ac:dyDescent="0.35">
      <c r="A504" t="s">
        <v>25</v>
      </c>
      <c r="B504" t="s">
        <v>11</v>
      </c>
      <c r="C504" t="s">
        <v>12</v>
      </c>
      <c r="D504" t="s">
        <v>13</v>
      </c>
      <c r="E504" t="s">
        <v>14</v>
      </c>
      <c r="F504">
        <v>58.22</v>
      </c>
      <c r="G504">
        <v>8</v>
      </c>
      <c r="H504">
        <v>23.288</v>
      </c>
      <c r="I504">
        <f t="shared" si="7"/>
        <v>465.76</v>
      </c>
      <c r="J504">
        <v>489.048</v>
      </c>
    </row>
    <row r="505" spans="1:10" x14ac:dyDescent="0.35">
      <c r="A505" t="s">
        <v>25</v>
      </c>
      <c r="B505" t="s">
        <v>11</v>
      </c>
      <c r="C505" t="s">
        <v>12</v>
      </c>
      <c r="D505" t="s">
        <v>17</v>
      </c>
      <c r="E505" t="s">
        <v>24</v>
      </c>
      <c r="F505">
        <v>86.31</v>
      </c>
      <c r="G505">
        <v>7</v>
      </c>
      <c r="H505">
        <v>302.08499999999998</v>
      </c>
      <c r="I505">
        <f t="shared" si="7"/>
        <v>604.17000000000007</v>
      </c>
      <c r="J505">
        <v>906.25500000000011</v>
      </c>
    </row>
    <row r="506" spans="1:10" x14ac:dyDescent="0.35">
      <c r="A506" t="s">
        <v>25</v>
      </c>
      <c r="B506" t="s">
        <v>15</v>
      </c>
      <c r="C506" t="s">
        <v>16</v>
      </c>
      <c r="D506" t="s">
        <v>17</v>
      </c>
      <c r="E506" t="s">
        <v>18</v>
      </c>
      <c r="F506">
        <v>85.39</v>
      </c>
      <c r="G506">
        <v>7</v>
      </c>
      <c r="H506">
        <v>298.86500000000001</v>
      </c>
      <c r="I506">
        <f t="shared" si="7"/>
        <v>597.73</v>
      </c>
      <c r="J506">
        <v>896.59500000000003</v>
      </c>
    </row>
    <row r="507" spans="1:10" x14ac:dyDescent="0.35">
      <c r="A507" t="s">
        <v>25</v>
      </c>
      <c r="B507" t="s">
        <v>20</v>
      </c>
      <c r="C507" t="s">
        <v>21</v>
      </c>
      <c r="D507" t="s">
        <v>13</v>
      </c>
      <c r="E507" t="s">
        <v>18</v>
      </c>
      <c r="F507">
        <v>25.51</v>
      </c>
      <c r="G507">
        <v>4</v>
      </c>
      <c r="H507">
        <v>5.1020000000000003</v>
      </c>
      <c r="I507">
        <f t="shared" si="7"/>
        <v>102.04</v>
      </c>
      <c r="J507">
        <v>107.14200000000001</v>
      </c>
    </row>
    <row r="508" spans="1:10" x14ac:dyDescent="0.35">
      <c r="A508" t="s">
        <v>25</v>
      </c>
      <c r="B508" t="s">
        <v>11</v>
      </c>
      <c r="C508" t="s">
        <v>12</v>
      </c>
      <c r="D508" t="s">
        <v>17</v>
      </c>
      <c r="E508" t="s">
        <v>22</v>
      </c>
      <c r="F508">
        <v>43.19</v>
      </c>
      <c r="G508">
        <v>10</v>
      </c>
      <c r="H508">
        <v>21.594999999999999</v>
      </c>
      <c r="I508">
        <f t="shared" si="7"/>
        <v>431.9</v>
      </c>
      <c r="J508">
        <v>453.495</v>
      </c>
    </row>
    <row r="509" spans="1:10" x14ac:dyDescent="0.35">
      <c r="A509" t="s">
        <v>25</v>
      </c>
      <c r="B509" t="s">
        <v>11</v>
      </c>
      <c r="C509" t="s">
        <v>12</v>
      </c>
      <c r="D509" t="s">
        <v>17</v>
      </c>
      <c r="E509" t="s">
        <v>24</v>
      </c>
      <c r="F509">
        <v>72.61</v>
      </c>
      <c r="G509">
        <v>6</v>
      </c>
      <c r="H509">
        <v>21.783000000000001</v>
      </c>
      <c r="I509">
        <f t="shared" si="7"/>
        <v>435.65999999999997</v>
      </c>
      <c r="J509">
        <v>457.44299999999998</v>
      </c>
    </row>
    <row r="510" spans="1:10" x14ac:dyDescent="0.35">
      <c r="A510" t="s">
        <v>25</v>
      </c>
      <c r="B510" t="s">
        <v>11</v>
      </c>
      <c r="C510" t="s">
        <v>12</v>
      </c>
      <c r="D510" t="s">
        <v>17</v>
      </c>
      <c r="E510" t="s">
        <v>22</v>
      </c>
      <c r="F510">
        <v>54.67</v>
      </c>
      <c r="G510">
        <v>3</v>
      </c>
      <c r="H510">
        <v>8.2004999999999999</v>
      </c>
      <c r="I510">
        <f t="shared" si="7"/>
        <v>164.01</v>
      </c>
      <c r="J510">
        <v>172.2105</v>
      </c>
    </row>
    <row r="511" spans="1:10" x14ac:dyDescent="0.35">
      <c r="A511" t="s">
        <v>25</v>
      </c>
      <c r="B511" t="s">
        <v>15</v>
      </c>
      <c r="C511" t="s">
        <v>16</v>
      </c>
      <c r="D511" t="s">
        <v>13</v>
      </c>
      <c r="E511" t="s">
        <v>18</v>
      </c>
      <c r="F511">
        <v>86.04</v>
      </c>
      <c r="G511">
        <v>5</v>
      </c>
      <c r="H511">
        <v>21.51</v>
      </c>
      <c r="I511">
        <f t="shared" si="7"/>
        <v>430.20000000000005</v>
      </c>
      <c r="J511">
        <v>451.71000000000004</v>
      </c>
    </row>
    <row r="512" spans="1:10" x14ac:dyDescent="0.35">
      <c r="A512" t="s">
        <v>25</v>
      </c>
      <c r="B512" t="s">
        <v>20</v>
      </c>
      <c r="C512" t="s">
        <v>21</v>
      </c>
      <c r="D512" t="s">
        <v>17</v>
      </c>
      <c r="E512" t="s">
        <v>14</v>
      </c>
      <c r="F512">
        <v>87.98</v>
      </c>
      <c r="G512">
        <v>3</v>
      </c>
      <c r="H512">
        <v>13.196999999999999</v>
      </c>
      <c r="I512">
        <f t="shared" si="7"/>
        <v>263.94</v>
      </c>
      <c r="J512">
        <v>277.137</v>
      </c>
    </row>
    <row r="513" spans="1:10" x14ac:dyDescent="0.35">
      <c r="A513" t="s">
        <v>25</v>
      </c>
      <c r="B513" t="s">
        <v>20</v>
      </c>
      <c r="C513" t="s">
        <v>21</v>
      </c>
      <c r="D513" t="s">
        <v>17</v>
      </c>
      <c r="E513" t="s">
        <v>19</v>
      </c>
      <c r="F513">
        <v>33.200000000000003</v>
      </c>
      <c r="G513">
        <v>2</v>
      </c>
      <c r="H513">
        <v>3.32</v>
      </c>
      <c r="I513">
        <f t="shared" si="7"/>
        <v>66.400000000000006</v>
      </c>
      <c r="J513">
        <v>69.72</v>
      </c>
    </row>
    <row r="514" spans="1:10" x14ac:dyDescent="0.35">
      <c r="A514" t="s">
        <v>25</v>
      </c>
      <c r="B514" t="s">
        <v>11</v>
      </c>
      <c r="C514" t="s">
        <v>12</v>
      </c>
      <c r="D514" t="s">
        <v>17</v>
      </c>
      <c r="E514" t="s">
        <v>18</v>
      </c>
      <c r="F514">
        <v>34.56</v>
      </c>
      <c r="G514">
        <v>5</v>
      </c>
      <c r="H514">
        <v>8.64</v>
      </c>
      <c r="I514">
        <f t="shared" si="7"/>
        <v>172.8</v>
      </c>
      <c r="J514">
        <v>181.44</v>
      </c>
    </row>
    <row r="515" spans="1:10" x14ac:dyDescent="0.35">
      <c r="A515" t="s">
        <v>25</v>
      </c>
      <c r="B515" t="s">
        <v>11</v>
      </c>
      <c r="C515" t="s">
        <v>12</v>
      </c>
      <c r="D515" t="s">
        <v>13</v>
      </c>
      <c r="E515" t="s">
        <v>24</v>
      </c>
      <c r="F515">
        <v>88.63</v>
      </c>
      <c r="G515">
        <v>3</v>
      </c>
      <c r="H515">
        <v>132.94499999999999</v>
      </c>
      <c r="I515">
        <f t="shared" ref="I515:I578" si="8">F515*G515</f>
        <v>265.89</v>
      </c>
      <c r="J515">
        <v>398.83499999999998</v>
      </c>
    </row>
    <row r="516" spans="1:10" x14ac:dyDescent="0.35">
      <c r="A516" t="s">
        <v>25</v>
      </c>
      <c r="B516" t="s">
        <v>20</v>
      </c>
      <c r="C516" t="s">
        <v>21</v>
      </c>
      <c r="D516" t="s">
        <v>17</v>
      </c>
      <c r="E516" t="s">
        <v>23</v>
      </c>
      <c r="F516">
        <v>33.520000000000003</v>
      </c>
      <c r="G516">
        <v>1</v>
      </c>
      <c r="H516">
        <v>1.6759999999999999</v>
      </c>
      <c r="I516">
        <f t="shared" si="8"/>
        <v>33.520000000000003</v>
      </c>
      <c r="J516">
        <v>35.196000000000005</v>
      </c>
    </row>
    <row r="517" spans="1:10" x14ac:dyDescent="0.35">
      <c r="A517" t="s">
        <v>25</v>
      </c>
      <c r="B517" t="s">
        <v>11</v>
      </c>
      <c r="C517" t="s">
        <v>12</v>
      </c>
      <c r="D517" t="s">
        <v>17</v>
      </c>
      <c r="E517" t="s">
        <v>14</v>
      </c>
      <c r="F517">
        <v>24.89</v>
      </c>
      <c r="G517">
        <v>9</v>
      </c>
      <c r="H517">
        <v>11.2005</v>
      </c>
      <c r="I517">
        <f t="shared" si="8"/>
        <v>224.01</v>
      </c>
      <c r="J517">
        <v>235.2105</v>
      </c>
    </row>
    <row r="518" spans="1:10" x14ac:dyDescent="0.35">
      <c r="A518" t="s">
        <v>25</v>
      </c>
      <c r="B518" t="s">
        <v>20</v>
      </c>
      <c r="C518" t="s">
        <v>21</v>
      </c>
      <c r="D518" t="s">
        <v>17</v>
      </c>
      <c r="E518" t="s">
        <v>23</v>
      </c>
      <c r="F518">
        <v>94.13</v>
      </c>
      <c r="G518">
        <v>5</v>
      </c>
      <c r="H518">
        <v>235.32499999999999</v>
      </c>
      <c r="I518">
        <f t="shared" si="8"/>
        <v>470.65</v>
      </c>
      <c r="J518">
        <v>705.97499999999991</v>
      </c>
    </row>
    <row r="519" spans="1:10" x14ac:dyDescent="0.35">
      <c r="A519" t="s">
        <v>25</v>
      </c>
      <c r="B519" t="s">
        <v>20</v>
      </c>
      <c r="C519" t="s">
        <v>21</v>
      </c>
      <c r="D519" t="s">
        <v>13</v>
      </c>
      <c r="E519" t="s">
        <v>24</v>
      </c>
      <c r="F519">
        <v>78.069999999999993</v>
      </c>
      <c r="G519">
        <v>9</v>
      </c>
      <c r="H519">
        <v>351.315</v>
      </c>
      <c r="I519">
        <f t="shared" si="8"/>
        <v>702.62999999999988</v>
      </c>
      <c r="J519">
        <v>1053.9449999999999</v>
      </c>
    </row>
    <row r="520" spans="1:10" x14ac:dyDescent="0.35">
      <c r="A520" t="s">
        <v>25</v>
      </c>
      <c r="B520" t="s">
        <v>20</v>
      </c>
      <c r="C520" t="s">
        <v>21</v>
      </c>
      <c r="D520" t="s">
        <v>17</v>
      </c>
      <c r="E520" t="s">
        <v>24</v>
      </c>
      <c r="F520">
        <v>83.78</v>
      </c>
      <c r="G520">
        <v>8</v>
      </c>
      <c r="H520">
        <v>33.512</v>
      </c>
      <c r="I520">
        <f t="shared" si="8"/>
        <v>670.24</v>
      </c>
      <c r="J520">
        <v>703.75199999999995</v>
      </c>
    </row>
    <row r="521" spans="1:10" x14ac:dyDescent="0.35">
      <c r="A521" t="s">
        <v>25</v>
      </c>
      <c r="B521" t="s">
        <v>11</v>
      </c>
      <c r="C521" t="s">
        <v>12</v>
      </c>
      <c r="D521" t="s">
        <v>17</v>
      </c>
      <c r="E521" t="s">
        <v>14</v>
      </c>
      <c r="F521">
        <v>96.58</v>
      </c>
      <c r="G521">
        <v>2</v>
      </c>
      <c r="H521">
        <v>9.6579999999999995</v>
      </c>
      <c r="I521">
        <f t="shared" si="8"/>
        <v>193.16</v>
      </c>
      <c r="J521">
        <v>202.81799999999998</v>
      </c>
    </row>
    <row r="522" spans="1:10" x14ac:dyDescent="0.35">
      <c r="A522" t="s">
        <v>25</v>
      </c>
      <c r="B522" t="s">
        <v>11</v>
      </c>
      <c r="C522" t="s">
        <v>12</v>
      </c>
      <c r="D522" t="s">
        <v>13</v>
      </c>
      <c r="E522" t="s">
        <v>24</v>
      </c>
      <c r="F522">
        <v>62.62</v>
      </c>
      <c r="G522">
        <v>5</v>
      </c>
      <c r="H522">
        <v>15.654999999999999</v>
      </c>
      <c r="I522">
        <f t="shared" si="8"/>
        <v>313.09999999999997</v>
      </c>
      <c r="J522">
        <v>328.75499999999994</v>
      </c>
    </row>
    <row r="523" spans="1:10" x14ac:dyDescent="0.35">
      <c r="A523" t="s">
        <v>25</v>
      </c>
      <c r="B523" t="s">
        <v>20</v>
      </c>
      <c r="C523" t="s">
        <v>21</v>
      </c>
      <c r="D523" t="s">
        <v>13</v>
      </c>
      <c r="E523" t="s">
        <v>19</v>
      </c>
      <c r="F523">
        <v>30.12</v>
      </c>
      <c r="G523">
        <v>8</v>
      </c>
      <c r="H523">
        <v>12.048</v>
      </c>
      <c r="I523">
        <f t="shared" si="8"/>
        <v>240.96</v>
      </c>
      <c r="J523">
        <v>253.00800000000001</v>
      </c>
    </row>
    <row r="524" spans="1:10" x14ac:dyDescent="0.35">
      <c r="A524" t="s">
        <v>25</v>
      </c>
      <c r="B524" t="s">
        <v>15</v>
      </c>
      <c r="C524" t="s">
        <v>16</v>
      </c>
      <c r="D524" t="s">
        <v>13</v>
      </c>
      <c r="E524" t="s">
        <v>19</v>
      </c>
      <c r="F524">
        <v>56.11</v>
      </c>
      <c r="G524">
        <v>2</v>
      </c>
      <c r="H524">
        <v>5.6109999999999998</v>
      </c>
      <c r="I524">
        <f t="shared" si="8"/>
        <v>112.22</v>
      </c>
      <c r="J524">
        <v>117.831</v>
      </c>
    </row>
    <row r="525" spans="1:10" x14ac:dyDescent="0.35">
      <c r="A525" t="s">
        <v>25</v>
      </c>
      <c r="B525" t="s">
        <v>15</v>
      </c>
      <c r="C525" t="s">
        <v>16</v>
      </c>
      <c r="D525" t="s">
        <v>13</v>
      </c>
      <c r="E525" t="s">
        <v>14</v>
      </c>
      <c r="F525">
        <v>15.37</v>
      </c>
      <c r="G525">
        <v>2</v>
      </c>
      <c r="H525">
        <v>1.5369999999999999</v>
      </c>
      <c r="I525">
        <f t="shared" si="8"/>
        <v>30.74</v>
      </c>
      <c r="J525">
        <v>32.277000000000001</v>
      </c>
    </row>
    <row r="526" spans="1:10" x14ac:dyDescent="0.35">
      <c r="A526" t="s">
        <v>25</v>
      </c>
      <c r="B526" t="s">
        <v>20</v>
      </c>
      <c r="C526" t="s">
        <v>21</v>
      </c>
      <c r="D526" t="s">
        <v>13</v>
      </c>
      <c r="E526" t="s">
        <v>14</v>
      </c>
      <c r="F526">
        <v>56.69</v>
      </c>
      <c r="G526">
        <v>9</v>
      </c>
      <c r="H526">
        <v>255.10499999999999</v>
      </c>
      <c r="I526">
        <f t="shared" si="8"/>
        <v>510.21</v>
      </c>
      <c r="J526">
        <v>765.31499999999994</v>
      </c>
    </row>
    <row r="527" spans="1:10" x14ac:dyDescent="0.35">
      <c r="A527" t="s">
        <v>25</v>
      </c>
      <c r="B527" t="s">
        <v>20</v>
      </c>
      <c r="C527" t="s">
        <v>21</v>
      </c>
      <c r="D527" t="s">
        <v>13</v>
      </c>
      <c r="E527" t="s">
        <v>18</v>
      </c>
      <c r="F527">
        <v>18.93</v>
      </c>
      <c r="G527">
        <v>6</v>
      </c>
      <c r="H527">
        <v>5.6790000000000003</v>
      </c>
      <c r="I527">
        <f t="shared" si="8"/>
        <v>113.58</v>
      </c>
      <c r="J527">
        <v>119.259</v>
      </c>
    </row>
    <row r="528" spans="1:10" x14ac:dyDescent="0.35">
      <c r="A528" t="s">
        <v>25</v>
      </c>
      <c r="B528" t="s">
        <v>15</v>
      </c>
      <c r="C528" t="s">
        <v>16</v>
      </c>
      <c r="D528" t="s">
        <v>13</v>
      </c>
      <c r="E528" t="s">
        <v>22</v>
      </c>
      <c r="F528">
        <v>91.4</v>
      </c>
      <c r="G528">
        <v>7</v>
      </c>
      <c r="H528">
        <v>31.99</v>
      </c>
      <c r="I528">
        <f t="shared" si="8"/>
        <v>639.80000000000007</v>
      </c>
      <c r="J528">
        <v>671.79000000000008</v>
      </c>
    </row>
    <row r="529" spans="1:10" x14ac:dyDescent="0.35">
      <c r="A529" t="s">
        <v>25</v>
      </c>
      <c r="B529" t="s">
        <v>15</v>
      </c>
      <c r="C529" t="s">
        <v>16</v>
      </c>
      <c r="D529" t="s">
        <v>13</v>
      </c>
      <c r="E529" t="s">
        <v>23</v>
      </c>
      <c r="F529">
        <v>15.43</v>
      </c>
      <c r="G529">
        <v>1</v>
      </c>
      <c r="H529">
        <v>7.7149999999999999</v>
      </c>
      <c r="I529">
        <f t="shared" si="8"/>
        <v>15.43</v>
      </c>
      <c r="J529">
        <v>23.145</v>
      </c>
    </row>
    <row r="530" spans="1:10" x14ac:dyDescent="0.35">
      <c r="A530" t="s">
        <v>25</v>
      </c>
      <c r="B530" t="s">
        <v>20</v>
      </c>
      <c r="C530" t="s">
        <v>21</v>
      </c>
      <c r="D530" t="s">
        <v>17</v>
      </c>
      <c r="E530" t="s">
        <v>19</v>
      </c>
      <c r="F530">
        <v>16.16</v>
      </c>
      <c r="G530">
        <v>2</v>
      </c>
      <c r="H530">
        <v>1.6160000000000001</v>
      </c>
      <c r="I530">
        <f t="shared" si="8"/>
        <v>32.32</v>
      </c>
      <c r="J530">
        <v>33.936</v>
      </c>
    </row>
    <row r="531" spans="1:10" x14ac:dyDescent="0.35">
      <c r="A531" t="s">
        <v>25</v>
      </c>
      <c r="B531" t="s">
        <v>11</v>
      </c>
      <c r="C531" t="s">
        <v>12</v>
      </c>
      <c r="D531" t="s">
        <v>13</v>
      </c>
      <c r="E531" t="s">
        <v>19</v>
      </c>
      <c r="F531">
        <v>44.34</v>
      </c>
      <c r="G531">
        <v>2</v>
      </c>
      <c r="H531">
        <v>4.4340000000000002</v>
      </c>
      <c r="I531">
        <f t="shared" si="8"/>
        <v>88.68</v>
      </c>
      <c r="J531">
        <v>93.114000000000004</v>
      </c>
    </row>
    <row r="532" spans="1:10" x14ac:dyDescent="0.35">
      <c r="A532" t="s">
        <v>25</v>
      </c>
      <c r="B532" t="s">
        <v>11</v>
      </c>
      <c r="C532" t="s">
        <v>12</v>
      </c>
      <c r="D532" t="s">
        <v>17</v>
      </c>
      <c r="E532" t="s">
        <v>14</v>
      </c>
      <c r="F532">
        <v>89.6</v>
      </c>
      <c r="G532">
        <v>8</v>
      </c>
      <c r="H532">
        <v>35.840000000000003</v>
      </c>
      <c r="I532">
        <f t="shared" si="8"/>
        <v>716.8</v>
      </c>
      <c r="J532">
        <v>752.64</v>
      </c>
    </row>
    <row r="533" spans="1:10" x14ac:dyDescent="0.35">
      <c r="A533" t="s">
        <v>25</v>
      </c>
      <c r="B533" t="s">
        <v>15</v>
      </c>
      <c r="C533" t="s">
        <v>16</v>
      </c>
      <c r="D533" t="s">
        <v>17</v>
      </c>
      <c r="E533" t="s">
        <v>18</v>
      </c>
      <c r="F533">
        <v>30.61</v>
      </c>
      <c r="G533">
        <v>6</v>
      </c>
      <c r="H533">
        <v>9.1829999999999998</v>
      </c>
      <c r="I533">
        <f t="shared" si="8"/>
        <v>183.66</v>
      </c>
      <c r="J533">
        <v>192.84299999999999</v>
      </c>
    </row>
    <row r="534" spans="1:10" x14ac:dyDescent="0.35">
      <c r="A534" t="s">
        <v>25</v>
      </c>
      <c r="B534" t="s">
        <v>15</v>
      </c>
      <c r="C534" t="s">
        <v>16</v>
      </c>
      <c r="D534" t="s">
        <v>17</v>
      </c>
      <c r="E534" t="s">
        <v>19</v>
      </c>
      <c r="F534">
        <v>55.73</v>
      </c>
      <c r="G534">
        <v>6</v>
      </c>
      <c r="H534">
        <v>16.719000000000001</v>
      </c>
      <c r="I534">
        <f t="shared" si="8"/>
        <v>334.38</v>
      </c>
      <c r="J534">
        <v>351.09899999999999</v>
      </c>
    </row>
    <row r="535" spans="1:10" x14ac:dyDescent="0.35">
      <c r="A535" t="s">
        <v>25</v>
      </c>
      <c r="B535" t="s">
        <v>11</v>
      </c>
      <c r="C535" t="s">
        <v>12</v>
      </c>
      <c r="D535" t="s">
        <v>13</v>
      </c>
      <c r="E535" t="s">
        <v>24</v>
      </c>
      <c r="F535">
        <v>15.81</v>
      </c>
      <c r="G535">
        <v>10</v>
      </c>
      <c r="H535">
        <v>7.9050000000000002</v>
      </c>
      <c r="I535">
        <f t="shared" si="8"/>
        <v>158.1</v>
      </c>
      <c r="J535">
        <v>166.005</v>
      </c>
    </row>
    <row r="536" spans="1:10" x14ac:dyDescent="0.35">
      <c r="A536" t="s">
        <v>25</v>
      </c>
      <c r="B536" t="s">
        <v>20</v>
      </c>
      <c r="C536" t="s">
        <v>21</v>
      </c>
      <c r="D536" t="s">
        <v>13</v>
      </c>
      <c r="E536" t="s">
        <v>14</v>
      </c>
      <c r="F536">
        <v>75.739999999999995</v>
      </c>
      <c r="G536">
        <v>4</v>
      </c>
      <c r="H536">
        <v>15.148</v>
      </c>
      <c r="I536">
        <f t="shared" si="8"/>
        <v>302.95999999999998</v>
      </c>
      <c r="J536">
        <v>318.108</v>
      </c>
    </row>
    <row r="537" spans="1:10" x14ac:dyDescent="0.35">
      <c r="A537" t="s">
        <v>25</v>
      </c>
      <c r="B537" t="s">
        <v>11</v>
      </c>
      <c r="C537" t="s">
        <v>12</v>
      </c>
      <c r="D537" t="s">
        <v>13</v>
      </c>
      <c r="E537" t="s">
        <v>14</v>
      </c>
      <c r="F537">
        <v>15.87</v>
      </c>
      <c r="G537">
        <v>10</v>
      </c>
      <c r="H537">
        <v>7.9349999999999996</v>
      </c>
      <c r="I537">
        <f t="shared" si="8"/>
        <v>158.69999999999999</v>
      </c>
      <c r="J537">
        <v>166.63499999999999</v>
      </c>
    </row>
    <row r="538" spans="1:10" x14ac:dyDescent="0.35">
      <c r="A538" t="s">
        <v>25</v>
      </c>
      <c r="B538" t="s">
        <v>11</v>
      </c>
      <c r="C538" t="s">
        <v>12</v>
      </c>
      <c r="D538" t="s">
        <v>17</v>
      </c>
      <c r="E538" t="s">
        <v>24</v>
      </c>
      <c r="F538">
        <v>78.77</v>
      </c>
      <c r="G538">
        <v>10</v>
      </c>
      <c r="H538">
        <v>39.384999999999998</v>
      </c>
      <c r="I538">
        <f t="shared" si="8"/>
        <v>787.69999999999993</v>
      </c>
      <c r="J538">
        <v>827.08499999999992</v>
      </c>
    </row>
    <row r="539" spans="1:10" x14ac:dyDescent="0.35">
      <c r="A539" t="s">
        <v>25</v>
      </c>
      <c r="B539" t="s">
        <v>15</v>
      </c>
      <c r="C539" t="s">
        <v>16</v>
      </c>
      <c r="D539" t="s">
        <v>17</v>
      </c>
      <c r="E539" t="s">
        <v>22</v>
      </c>
      <c r="F539">
        <v>89.48</v>
      </c>
      <c r="G539">
        <v>10</v>
      </c>
      <c r="H539">
        <v>44.74</v>
      </c>
      <c r="I539">
        <f t="shared" si="8"/>
        <v>894.80000000000007</v>
      </c>
      <c r="J539">
        <v>939.54000000000008</v>
      </c>
    </row>
    <row r="540" spans="1:10" x14ac:dyDescent="0.35">
      <c r="A540" t="s">
        <v>25</v>
      </c>
      <c r="B540" t="s">
        <v>15</v>
      </c>
      <c r="C540" t="s">
        <v>16</v>
      </c>
      <c r="D540" t="s">
        <v>17</v>
      </c>
      <c r="E540" t="s">
        <v>23</v>
      </c>
      <c r="F540">
        <v>62.12</v>
      </c>
      <c r="G540">
        <v>10</v>
      </c>
      <c r="H540">
        <v>31.06</v>
      </c>
      <c r="I540">
        <f t="shared" si="8"/>
        <v>621.19999999999993</v>
      </c>
      <c r="J540">
        <v>652.25999999999988</v>
      </c>
    </row>
    <row r="541" spans="1:10" x14ac:dyDescent="0.35">
      <c r="A541" t="s">
        <v>25</v>
      </c>
      <c r="B541" t="s">
        <v>11</v>
      </c>
      <c r="C541" t="s">
        <v>12</v>
      </c>
      <c r="D541" t="s">
        <v>17</v>
      </c>
      <c r="E541" t="s">
        <v>19</v>
      </c>
      <c r="F541">
        <v>74.67</v>
      </c>
      <c r="G541">
        <v>9</v>
      </c>
      <c r="H541">
        <v>336.01499999999999</v>
      </c>
      <c r="I541">
        <f t="shared" si="8"/>
        <v>672.03</v>
      </c>
      <c r="J541">
        <v>1008.045</v>
      </c>
    </row>
    <row r="542" spans="1:10" x14ac:dyDescent="0.35">
      <c r="A542" t="s">
        <v>25</v>
      </c>
      <c r="B542" t="s">
        <v>15</v>
      </c>
      <c r="C542" t="s">
        <v>16</v>
      </c>
      <c r="D542" t="s">
        <v>13</v>
      </c>
      <c r="E542" t="s">
        <v>23</v>
      </c>
      <c r="F542">
        <v>49.04</v>
      </c>
      <c r="G542">
        <v>9</v>
      </c>
      <c r="H542">
        <v>22.068000000000001</v>
      </c>
      <c r="I542">
        <f t="shared" si="8"/>
        <v>441.36</v>
      </c>
      <c r="J542">
        <v>463.428</v>
      </c>
    </row>
    <row r="543" spans="1:10" x14ac:dyDescent="0.35">
      <c r="A543" t="s">
        <v>25</v>
      </c>
      <c r="B543" t="s">
        <v>15</v>
      </c>
      <c r="C543" t="s">
        <v>16</v>
      </c>
      <c r="D543" t="s">
        <v>17</v>
      </c>
      <c r="E543" t="s">
        <v>22</v>
      </c>
      <c r="F543">
        <v>19.25</v>
      </c>
      <c r="G543">
        <v>8</v>
      </c>
      <c r="H543">
        <v>7.7</v>
      </c>
      <c r="I543">
        <f t="shared" si="8"/>
        <v>154</v>
      </c>
      <c r="J543">
        <v>161.69999999999999</v>
      </c>
    </row>
    <row r="544" spans="1:10" x14ac:dyDescent="0.35">
      <c r="A544" t="s">
        <v>25</v>
      </c>
      <c r="B544" t="s">
        <v>15</v>
      </c>
      <c r="C544" t="s">
        <v>16</v>
      </c>
      <c r="D544" t="s">
        <v>13</v>
      </c>
      <c r="E544" t="s">
        <v>24</v>
      </c>
      <c r="F544">
        <v>48.91</v>
      </c>
      <c r="G544">
        <v>5</v>
      </c>
      <c r="H544">
        <v>12.227499999999999</v>
      </c>
      <c r="I544">
        <f t="shared" si="8"/>
        <v>244.54999999999998</v>
      </c>
      <c r="J544">
        <v>256.77749999999997</v>
      </c>
    </row>
    <row r="545" spans="1:10" x14ac:dyDescent="0.35">
      <c r="A545" t="s">
        <v>25</v>
      </c>
      <c r="B545" t="s">
        <v>15</v>
      </c>
      <c r="C545" t="s">
        <v>16</v>
      </c>
      <c r="D545" t="s">
        <v>17</v>
      </c>
      <c r="E545" t="s">
        <v>23</v>
      </c>
      <c r="F545">
        <v>76.52</v>
      </c>
      <c r="G545">
        <v>5</v>
      </c>
      <c r="H545">
        <v>19.13</v>
      </c>
      <c r="I545">
        <f t="shared" si="8"/>
        <v>382.59999999999997</v>
      </c>
      <c r="J545">
        <v>401.72999999999996</v>
      </c>
    </row>
    <row r="546" spans="1:10" x14ac:dyDescent="0.35">
      <c r="A546" t="s">
        <v>25</v>
      </c>
      <c r="B546" t="s">
        <v>11</v>
      </c>
      <c r="C546" t="s">
        <v>12</v>
      </c>
      <c r="D546" t="s">
        <v>13</v>
      </c>
      <c r="E546" t="s">
        <v>22</v>
      </c>
      <c r="F546">
        <v>49.38</v>
      </c>
      <c r="G546">
        <v>7</v>
      </c>
      <c r="H546">
        <v>17.283000000000001</v>
      </c>
      <c r="I546">
        <f t="shared" si="8"/>
        <v>345.66</v>
      </c>
      <c r="J546">
        <v>362.94300000000004</v>
      </c>
    </row>
    <row r="547" spans="1:10" x14ac:dyDescent="0.35">
      <c r="A547" t="s">
        <v>25</v>
      </c>
      <c r="B547" t="s">
        <v>11</v>
      </c>
      <c r="C547" t="s">
        <v>12</v>
      </c>
      <c r="D547" t="s">
        <v>17</v>
      </c>
      <c r="E547" t="s">
        <v>24</v>
      </c>
      <c r="F547">
        <v>42.47</v>
      </c>
      <c r="G547">
        <v>1</v>
      </c>
      <c r="H547">
        <v>2.1234999999999999</v>
      </c>
      <c r="I547">
        <f t="shared" si="8"/>
        <v>42.47</v>
      </c>
      <c r="J547">
        <v>44.593499999999999</v>
      </c>
    </row>
    <row r="548" spans="1:10" x14ac:dyDescent="0.35">
      <c r="A548" t="s">
        <v>25</v>
      </c>
      <c r="B548" t="s">
        <v>20</v>
      </c>
      <c r="C548" t="s">
        <v>21</v>
      </c>
      <c r="D548" t="s">
        <v>13</v>
      </c>
      <c r="E548" t="s">
        <v>14</v>
      </c>
      <c r="F548">
        <v>64.36</v>
      </c>
      <c r="G548">
        <v>9</v>
      </c>
      <c r="H548">
        <v>28.962</v>
      </c>
      <c r="I548">
        <f t="shared" si="8"/>
        <v>579.24</v>
      </c>
      <c r="J548">
        <v>608.202</v>
      </c>
    </row>
    <row r="549" spans="1:10" x14ac:dyDescent="0.35">
      <c r="A549" t="s">
        <v>25</v>
      </c>
      <c r="B549" t="s">
        <v>15</v>
      </c>
      <c r="C549" t="s">
        <v>16</v>
      </c>
      <c r="D549" t="s">
        <v>17</v>
      </c>
      <c r="E549" t="s">
        <v>14</v>
      </c>
      <c r="F549">
        <v>89.75</v>
      </c>
      <c r="G549">
        <v>1</v>
      </c>
      <c r="H549">
        <v>4.4874999999999998</v>
      </c>
      <c r="I549">
        <f t="shared" si="8"/>
        <v>89.75</v>
      </c>
      <c r="J549">
        <v>94.237499999999997</v>
      </c>
    </row>
    <row r="550" spans="1:10" x14ac:dyDescent="0.35">
      <c r="A550" t="s">
        <v>25</v>
      </c>
      <c r="B550" t="s">
        <v>11</v>
      </c>
      <c r="C550" t="s">
        <v>12</v>
      </c>
      <c r="D550" t="s">
        <v>17</v>
      </c>
      <c r="E550" t="s">
        <v>18</v>
      </c>
      <c r="F550">
        <v>97.16</v>
      </c>
      <c r="G550">
        <v>1</v>
      </c>
      <c r="H550">
        <v>4.8579999999999997</v>
      </c>
      <c r="I550">
        <f t="shared" si="8"/>
        <v>97.16</v>
      </c>
      <c r="J550">
        <v>102.018</v>
      </c>
    </row>
    <row r="551" spans="1:10" x14ac:dyDescent="0.35">
      <c r="A551" t="s">
        <v>25</v>
      </c>
      <c r="B551" t="s">
        <v>20</v>
      </c>
      <c r="C551" t="s">
        <v>21</v>
      </c>
      <c r="D551" t="s">
        <v>17</v>
      </c>
      <c r="E551" t="s">
        <v>14</v>
      </c>
      <c r="F551">
        <v>87.87</v>
      </c>
      <c r="G551">
        <v>10</v>
      </c>
      <c r="H551">
        <v>43.935000000000002</v>
      </c>
      <c r="I551">
        <f t="shared" si="8"/>
        <v>878.7</v>
      </c>
      <c r="J551">
        <v>922.63499999999999</v>
      </c>
    </row>
    <row r="552" spans="1:10" x14ac:dyDescent="0.35">
      <c r="A552" t="s">
        <v>25</v>
      </c>
      <c r="B552" t="s">
        <v>11</v>
      </c>
      <c r="C552" t="s">
        <v>12</v>
      </c>
      <c r="D552" t="s">
        <v>17</v>
      </c>
      <c r="E552" t="s">
        <v>22</v>
      </c>
      <c r="F552">
        <v>52.75</v>
      </c>
      <c r="G552">
        <v>3</v>
      </c>
      <c r="H552">
        <v>7.9124999999999996</v>
      </c>
      <c r="I552">
        <f t="shared" si="8"/>
        <v>158.25</v>
      </c>
      <c r="J552">
        <v>166.16249999999999</v>
      </c>
    </row>
    <row r="553" spans="1:10" x14ac:dyDescent="0.35">
      <c r="A553" t="s">
        <v>25</v>
      </c>
      <c r="B553" t="s">
        <v>20</v>
      </c>
      <c r="C553" t="s">
        <v>21</v>
      </c>
      <c r="D553" t="s">
        <v>17</v>
      </c>
      <c r="E553" t="s">
        <v>19</v>
      </c>
      <c r="F553">
        <v>82.7</v>
      </c>
      <c r="G553">
        <v>6</v>
      </c>
      <c r="H553">
        <v>24.81</v>
      </c>
      <c r="I553">
        <f t="shared" si="8"/>
        <v>496.20000000000005</v>
      </c>
      <c r="J553">
        <v>521.01</v>
      </c>
    </row>
    <row r="554" spans="1:10" x14ac:dyDescent="0.35">
      <c r="A554" t="s">
        <v>25</v>
      </c>
      <c r="B554" t="s">
        <v>15</v>
      </c>
      <c r="C554" t="s">
        <v>16</v>
      </c>
      <c r="D554" t="s">
        <v>13</v>
      </c>
      <c r="E554" t="s">
        <v>23</v>
      </c>
      <c r="F554">
        <v>48.71</v>
      </c>
      <c r="G554">
        <v>1</v>
      </c>
      <c r="H554">
        <v>2.4355000000000002</v>
      </c>
      <c r="I554">
        <f t="shared" si="8"/>
        <v>48.71</v>
      </c>
      <c r="J554">
        <v>51.145499999999998</v>
      </c>
    </row>
    <row r="555" spans="1:10" x14ac:dyDescent="0.35">
      <c r="A555" t="s">
        <v>25</v>
      </c>
      <c r="B555" t="s">
        <v>15</v>
      </c>
      <c r="C555" t="s">
        <v>16</v>
      </c>
      <c r="D555" t="s">
        <v>17</v>
      </c>
      <c r="E555" t="s">
        <v>23</v>
      </c>
      <c r="F555">
        <v>78.55</v>
      </c>
      <c r="G555">
        <v>9</v>
      </c>
      <c r="H555">
        <v>353.47500000000002</v>
      </c>
      <c r="I555">
        <f t="shared" si="8"/>
        <v>706.94999999999993</v>
      </c>
      <c r="J555">
        <v>1060.425</v>
      </c>
    </row>
    <row r="556" spans="1:10" x14ac:dyDescent="0.35">
      <c r="A556" t="s">
        <v>25</v>
      </c>
      <c r="B556" t="s">
        <v>11</v>
      </c>
      <c r="C556" t="s">
        <v>12</v>
      </c>
      <c r="D556" t="s">
        <v>17</v>
      </c>
      <c r="E556" t="s">
        <v>22</v>
      </c>
      <c r="F556">
        <v>58.26</v>
      </c>
      <c r="G556">
        <v>6</v>
      </c>
      <c r="H556">
        <v>17.478000000000002</v>
      </c>
      <c r="I556">
        <f t="shared" si="8"/>
        <v>349.56</v>
      </c>
      <c r="J556">
        <v>367.03800000000001</v>
      </c>
    </row>
    <row r="557" spans="1:10" x14ac:dyDescent="0.35">
      <c r="A557" t="s">
        <v>25</v>
      </c>
      <c r="B557" t="s">
        <v>20</v>
      </c>
      <c r="C557" t="s">
        <v>21</v>
      </c>
      <c r="D557" t="s">
        <v>17</v>
      </c>
      <c r="E557" t="s">
        <v>14</v>
      </c>
      <c r="F557">
        <v>30.35</v>
      </c>
      <c r="G557">
        <v>7</v>
      </c>
      <c r="H557">
        <v>10.6225</v>
      </c>
      <c r="I557">
        <f t="shared" si="8"/>
        <v>212.45000000000002</v>
      </c>
      <c r="J557">
        <v>223.07250000000002</v>
      </c>
    </row>
    <row r="558" spans="1:10" x14ac:dyDescent="0.35">
      <c r="A558" t="s">
        <v>25</v>
      </c>
      <c r="B558" t="s">
        <v>11</v>
      </c>
      <c r="C558" t="s">
        <v>12</v>
      </c>
      <c r="D558" t="s">
        <v>13</v>
      </c>
      <c r="E558" t="s">
        <v>18</v>
      </c>
      <c r="F558">
        <v>88.67</v>
      </c>
      <c r="G558">
        <v>10</v>
      </c>
      <c r="H558">
        <v>44.335000000000001</v>
      </c>
      <c r="I558">
        <f t="shared" si="8"/>
        <v>886.7</v>
      </c>
      <c r="J558">
        <v>931.03500000000008</v>
      </c>
    </row>
    <row r="559" spans="1:10" x14ac:dyDescent="0.35">
      <c r="A559" t="s">
        <v>25</v>
      </c>
      <c r="B559" t="s">
        <v>15</v>
      </c>
      <c r="C559" t="s">
        <v>16</v>
      </c>
      <c r="D559" t="s">
        <v>17</v>
      </c>
      <c r="E559" t="s">
        <v>23</v>
      </c>
      <c r="F559">
        <v>27.38</v>
      </c>
      <c r="G559">
        <v>6</v>
      </c>
      <c r="H559">
        <v>8.2140000000000004</v>
      </c>
      <c r="I559">
        <f t="shared" si="8"/>
        <v>164.28</v>
      </c>
      <c r="J559">
        <v>172.494</v>
      </c>
    </row>
    <row r="560" spans="1:10" x14ac:dyDescent="0.35">
      <c r="A560" t="s">
        <v>25</v>
      </c>
      <c r="B560" t="s">
        <v>11</v>
      </c>
      <c r="C560" t="s">
        <v>12</v>
      </c>
      <c r="D560" t="s">
        <v>17</v>
      </c>
      <c r="E560" t="s">
        <v>24</v>
      </c>
      <c r="F560">
        <v>62.13</v>
      </c>
      <c r="G560">
        <v>6</v>
      </c>
      <c r="H560">
        <v>18.638999999999999</v>
      </c>
      <c r="I560">
        <f t="shared" si="8"/>
        <v>372.78000000000003</v>
      </c>
      <c r="J560">
        <v>391.41900000000004</v>
      </c>
    </row>
    <row r="561" spans="1:10" x14ac:dyDescent="0.35">
      <c r="A561" t="s">
        <v>25</v>
      </c>
      <c r="B561" t="s">
        <v>15</v>
      </c>
      <c r="C561" t="s">
        <v>16</v>
      </c>
      <c r="D561" t="s">
        <v>13</v>
      </c>
      <c r="E561" t="s">
        <v>18</v>
      </c>
      <c r="F561">
        <v>81.97</v>
      </c>
      <c r="G561">
        <v>10</v>
      </c>
      <c r="H561">
        <v>40.984999999999999</v>
      </c>
      <c r="I561">
        <f t="shared" si="8"/>
        <v>819.7</v>
      </c>
      <c r="J561">
        <v>860.68500000000006</v>
      </c>
    </row>
    <row r="562" spans="1:10" x14ac:dyDescent="0.35">
      <c r="A562" t="s">
        <v>25</v>
      </c>
      <c r="B562" t="s">
        <v>11</v>
      </c>
      <c r="C562" t="s">
        <v>12</v>
      </c>
      <c r="D562" t="s">
        <v>13</v>
      </c>
      <c r="E562" t="s">
        <v>19</v>
      </c>
      <c r="F562">
        <v>58.07</v>
      </c>
      <c r="G562">
        <v>9</v>
      </c>
      <c r="H562">
        <v>261.315</v>
      </c>
      <c r="I562">
        <f t="shared" si="8"/>
        <v>522.63</v>
      </c>
      <c r="J562">
        <v>783.94499999999994</v>
      </c>
    </row>
    <row r="563" spans="1:10" x14ac:dyDescent="0.35">
      <c r="A563" t="s">
        <v>25</v>
      </c>
      <c r="B563" t="s">
        <v>20</v>
      </c>
      <c r="C563" t="s">
        <v>21</v>
      </c>
      <c r="D563" t="s">
        <v>13</v>
      </c>
      <c r="E563" t="s">
        <v>23</v>
      </c>
      <c r="F563">
        <v>21.94</v>
      </c>
      <c r="G563">
        <v>5</v>
      </c>
      <c r="H563">
        <v>5.4850000000000003</v>
      </c>
      <c r="I563">
        <f t="shared" si="8"/>
        <v>109.7</v>
      </c>
      <c r="J563">
        <v>115.185</v>
      </c>
    </row>
    <row r="564" spans="1:10" x14ac:dyDescent="0.35">
      <c r="A564" t="s">
        <v>25</v>
      </c>
      <c r="B564" t="s">
        <v>20</v>
      </c>
      <c r="C564" t="s">
        <v>21</v>
      </c>
      <c r="D564" t="s">
        <v>13</v>
      </c>
      <c r="E564" t="s">
        <v>23</v>
      </c>
      <c r="F564">
        <v>51.36</v>
      </c>
      <c r="G564">
        <v>1</v>
      </c>
      <c r="H564">
        <v>2.5680000000000001</v>
      </c>
      <c r="I564">
        <f t="shared" si="8"/>
        <v>51.36</v>
      </c>
      <c r="J564">
        <v>53.927999999999997</v>
      </c>
    </row>
    <row r="565" spans="1:10" x14ac:dyDescent="0.35">
      <c r="A565" t="s">
        <v>25</v>
      </c>
      <c r="B565" t="s">
        <v>20</v>
      </c>
      <c r="C565" t="s">
        <v>21</v>
      </c>
      <c r="D565" t="s">
        <v>17</v>
      </c>
      <c r="E565" t="s">
        <v>19</v>
      </c>
      <c r="F565">
        <v>53.44</v>
      </c>
      <c r="G565">
        <v>2</v>
      </c>
      <c r="H565">
        <v>5.3440000000000003</v>
      </c>
      <c r="I565">
        <f t="shared" si="8"/>
        <v>106.88</v>
      </c>
      <c r="J565">
        <v>112.22399999999999</v>
      </c>
    </row>
    <row r="566" spans="1:10" x14ac:dyDescent="0.35">
      <c r="A566" t="s">
        <v>25</v>
      </c>
      <c r="B566" t="s">
        <v>15</v>
      </c>
      <c r="C566" t="s">
        <v>16</v>
      </c>
      <c r="D566" t="s">
        <v>13</v>
      </c>
      <c r="E566" t="s">
        <v>24</v>
      </c>
      <c r="F566">
        <v>57.12</v>
      </c>
      <c r="G566">
        <v>7</v>
      </c>
      <c r="H566">
        <v>19.992000000000001</v>
      </c>
      <c r="I566">
        <f t="shared" si="8"/>
        <v>399.84</v>
      </c>
      <c r="J566">
        <v>419.83199999999999</v>
      </c>
    </row>
    <row r="567" spans="1:10" x14ac:dyDescent="0.35">
      <c r="A567" t="s">
        <v>25</v>
      </c>
      <c r="B567" t="s">
        <v>20</v>
      </c>
      <c r="C567" t="s">
        <v>21</v>
      </c>
      <c r="D567" t="s">
        <v>13</v>
      </c>
      <c r="E567" t="s">
        <v>24</v>
      </c>
      <c r="F567">
        <v>99.96</v>
      </c>
      <c r="G567">
        <v>9</v>
      </c>
      <c r="H567">
        <v>44.981999999999999</v>
      </c>
      <c r="I567">
        <f t="shared" si="8"/>
        <v>899.64</v>
      </c>
      <c r="J567">
        <v>944.62199999999996</v>
      </c>
    </row>
    <row r="568" spans="1:10" x14ac:dyDescent="0.35">
      <c r="A568" t="s">
        <v>25</v>
      </c>
      <c r="B568" t="s">
        <v>15</v>
      </c>
      <c r="C568" t="s">
        <v>16</v>
      </c>
      <c r="D568" t="s">
        <v>13</v>
      </c>
      <c r="E568" t="s">
        <v>19</v>
      </c>
      <c r="F568">
        <v>63.91</v>
      </c>
      <c r="G568">
        <v>8</v>
      </c>
      <c r="H568">
        <v>25.564</v>
      </c>
      <c r="I568">
        <f t="shared" si="8"/>
        <v>511.28</v>
      </c>
      <c r="J568">
        <v>536.84399999999994</v>
      </c>
    </row>
    <row r="569" spans="1:10" x14ac:dyDescent="0.35">
      <c r="A569" t="s">
        <v>25</v>
      </c>
      <c r="B569" t="s">
        <v>20</v>
      </c>
      <c r="C569" t="s">
        <v>21</v>
      </c>
      <c r="D569" t="s">
        <v>13</v>
      </c>
      <c r="E569" t="s">
        <v>18</v>
      </c>
      <c r="F569">
        <v>87.45</v>
      </c>
      <c r="G569">
        <v>6</v>
      </c>
      <c r="H569">
        <v>26.234999999999999</v>
      </c>
      <c r="I569">
        <f t="shared" si="8"/>
        <v>524.70000000000005</v>
      </c>
      <c r="J569">
        <v>550.93500000000006</v>
      </c>
    </row>
    <row r="570" spans="1:10" x14ac:dyDescent="0.35">
      <c r="A570" t="s">
        <v>25</v>
      </c>
      <c r="B570" t="s">
        <v>15</v>
      </c>
      <c r="C570" t="s">
        <v>16</v>
      </c>
      <c r="D570" t="s">
        <v>17</v>
      </c>
      <c r="E570" t="s">
        <v>23</v>
      </c>
      <c r="F570">
        <v>90.22</v>
      </c>
      <c r="G570">
        <v>3</v>
      </c>
      <c r="H570">
        <v>13.532999999999999</v>
      </c>
      <c r="I570">
        <f t="shared" si="8"/>
        <v>270.65999999999997</v>
      </c>
      <c r="J570">
        <v>284.19299999999998</v>
      </c>
    </row>
    <row r="571" spans="1:10" x14ac:dyDescent="0.35">
      <c r="A571" t="s">
        <v>25</v>
      </c>
      <c r="B571" t="s">
        <v>20</v>
      </c>
      <c r="C571" t="s">
        <v>21</v>
      </c>
      <c r="D571" t="s">
        <v>17</v>
      </c>
      <c r="E571" t="s">
        <v>24</v>
      </c>
      <c r="F571">
        <v>51.91</v>
      </c>
      <c r="G571">
        <v>10</v>
      </c>
      <c r="H571">
        <v>25.954999999999998</v>
      </c>
      <c r="I571">
        <f t="shared" si="8"/>
        <v>519.09999999999991</v>
      </c>
      <c r="J571">
        <v>545.05499999999995</v>
      </c>
    </row>
    <row r="572" spans="1:10" x14ac:dyDescent="0.35">
      <c r="A572" t="s">
        <v>25</v>
      </c>
      <c r="B572" t="s">
        <v>11</v>
      </c>
      <c r="C572" t="s">
        <v>12</v>
      </c>
      <c r="D572" t="s">
        <v>17</v>
      </c>
      <c r="E572" t="s">
        <v>24</v>
      </c>
      <c r="F572">
        <v>72.5</v>
      </c>
      <c r="G572">
        <v>8</v>
      </c>
      <c r="H572">
        <v>29</v>
      </c>
      <c r="I572">
        <f t="shared" si="8"/>
        <v>580</v>
      </c>
      <c r="J572">
        <v>609</v>
      </c>
    </row>
    <row r="573" spans="1:10" x14ac:dyDescent="0.35">
      <c r="A573" t="s">
        <v>25</v>
      </c>
      <c r="B573" t="s">
        <v>15</v>
      </c>
      <c r="C573" t="s">
        <v>16</v>
      </c>
      <c r="D573" t="s">
        <v>13</v>
      </c>
      <c r="E573" t="s">
        <v>14</v>
      </c>
      <c r="F573">
        <v>90.5</v>
      </c>
      <c r="G573">
        <v>10</v>
      </c>
      <c r="H573">
        <v>45.25</v>
      </c>
      <c r="I573">
        <f t="shared" si="8"/>
        <v>905</v>
      </c>
      <c r="J573">
        <v>950.25</v>
      </c>
    </row>
    <row r="574" spans="1:10" x14ac:dyDescent="0.35">
      <c r="A574" t="s">
        <v>25</v>
      </c>
      <c r="B574" t="s">
        <v>15</v>
      </c>
      <c r="C574" t="s">
        <v>16</v>
      </c>
      <c r="D574" t="s">
        <v>17</v>
      </c>
      <c r="E574" t="s">
        <v>14</v>
      </c>
      <c r="F574">
        <v>66.14</v>
      </c>
      <c r="G574">
        <v>4</v>
      </c>
      <c r="H574">
        <v>13.228</v>
      </c>
      <c r="I574">
        <f t="shared" si="8"/>
        <v>264.56</v>
      </c>
      <c r="J574">
        <v>277.78800000000001</v>
      </c>
    </row>
    <row r="575" spans="1:10" x14ac:dyDescent="0.35">
      <c r="A575" t="s">
        <v>25</v>
      </c>
      <c r="B575" t="s">
        <v>20</v>
      </c>
      <c r="C575" t="s">
        <v>21</v>
      </c>
      <c r="D575" t="s">
        <v>13</v>
      </c>
      <c r="E575" t="s">
        <v>19</v>
      </c>
      <c r="F575">
        <v>71.86</v>
      </c>
      <c r="G575">
        <v>8</v>
      </c>
      <c r="H575">
        <v>28.744</v>
      </c>
      <c r="I575">
        <f t="shared" si="8"/>
        <v>574.88</v>
      </c>
      <c r="J575">
        <v>603.62400000000002</v>
      </c>
    </row>
    <row r="576" spans="1:10" x14ac:dyDescent="0.35">
      <c r="A576" t="s">
        <v>25</v>
      </c>
      <c r="B576" t="s">
        <v>11</v>
      </c>
      <c r="C576" t="s">
        <v>12</v>
      </c>
      <c r="D576" t="s">
        <v>17</v>
      </c>
      <c r="E576" t="s">
        <v>14</v>
      </c>
      <c r="F576">
        <v>32.46</v>
      </c>
      <c r="G576">
        <v>8</v>
      </c>
      <c r="H576">
        <v>12.984</v>
      </c>
      <c r="I576">
        <f t="shared" si="8"/>
        <v>259.68</v>
      </c>
      <c r="J576">
        <v>272.66399999999999</v>
      </c>
    </row>
    <row r="577" spans="1:10" x14ac:dyDescent="0.35">
      <c r="A577" t="s">
        <v>25</v>
      </c>
      <c r="B577" t="s">
        <v>15</v>
      </c>
      <c r="C577" t="s">
        <v>16</v>
      </c>
      <c r="D577" t="s">
        <v>13</v>
      </c>
      <c r="E577" t="s">
        <v>24</v>
      </c>
      <c r="F577">
        <v>34.56</v>
      </c>
      <c r="G577">
        <v>7</v>
      </c>
      <c r="H577">
        <v>12.096</v>
      </c>
      <c r="I577">
        <f t="shared" si="8"/>
        <v>241.92000000000002</v>
      </c>
      <c r="J577">
        <v>254.01600000000002</v>
      </c>
    </row>
    <row r="578" spans="1:10" x14ac:dyDescent="0.35">
      <c r="A578" t="s">
        <v>25</v>
      </c>
      <c r="B578" t="s">
        <v>11</v>
      </c>
      <c r="C578" t="s">
        <v>12</v>
      </c>
      <c r="D578" t="s">
        <v>17</v>
      </c>
      <c r="E578" t="s">
        <v>23</v>
      </c>
      <c r="F578">
        <v>83.24</v>
      </c>
      <c r="G578">
        <v>9</v>
      </c>
      <c r="H578">
        <v>37.457999999999998</v>
      </c>
      <c r="I578">
        <f t="shared" si="8"/>
        <v>749.16</v>
      </c>
      <c r="J578">
        <v>786.61799999999994</v>
      </c>
    </row>
    <row r="579" spans="1:10" x14ac:dyDescent="0.35">
      <c r="A579" t="s">
        <v>25</v>
      </c>
      <c r="B579" t="s">
        <v>11</v>
      </c>
      <c r="C579" t="s">
        <v>12</v>
      </c>
      <c r="D579" t="s">
        <v>13</v>
      </c>
      <c r="E579" t="s">
        <v>22</v>
      </c>
      <c r="F579">
        <v>92.29</v>
      </c>
      <c r="G579">
        <v>5</v>
      </c>
      <c r="H579">
        <v>230.72499999999999</v>
      </c>
      <c r="I579">
        <f t="shared" ref="I579:I642" si="9">F579*G579</f>
        <v>461.45000000000005</v>
      </c>
      <c r="J579">
        <v>692.17500000000007</v>
      </c>
    </row>
    <row r="580" spans="1:10" x14ac:dyDescent="0.35">
      <c r="A580" t="s">
        <v>25</v>
      </c>
      <c r="B580" t="s">
        <v>20</v>
      </c>
      <c r="C580" t="s">
        <v>21</v>
      </c>
      <c r="D580" t="s">
        <v>13</v>
      </c>
      <c r="E580" t="s">
        <v>18</v>
      </c>
      <c r="F580">
        <v>72.17</v>
      </c>
      <c r="G580">
        <v>1</v>
      </c>
      <c r="H580">
        <v>3.6084999999999998</v>
      </c>
      <c r="I580">
        <f t="shared" si="9"/>
        <v>72.17</v>
      </c>
      <c r="J580">
        <v>75.778500000000008</v>
      </c>
    </row>
    <row r="581" spans="1:10" x14ac:dyDescent="0.35">
      <c r="A581" t="s">
        <v>25</v>
      </c>
      <c r="B581" t="s">
        <v>20</v>
      </c>
      <c r="C581" t="s">
        <v>21</v>
      </c>
      <c r="D581" t="s">
        <v>17</v>
      </c>
      <c r="E581" t="s">
        <v>19</v>
      </c>
      <c r="F581">
        <v>50.28</v>
      </c>
      <c r="G581">
        <v>5</v>
      </c>
      <c r="H581">
        <v>12.57</v>
      </c>
      <c r="I581">
        <f t="shared" si="9"/>
        <v>251.4</v>
      </c>
      <c r="J581">
        <v>263.97000000000003</v>
      </c>
    </row>
    <row r="582" spans="1:10" x14ac:dyDescent="0.35">
      <c r="A582" t="s">
        <v>25</v>
      </c>
      <c r="B582" t="s">
        <v>20</v>
      </c>
      <c r="C582" t="s">
        <v>21</v>
      </c>
      <c r="D582" t="s">
        <v>13</v>
      </c>
      <c r="E582" t="s">
        <v>14</v>
      </c>
      <c r="F582">
        <v>97.22</v>
      </c>
      <c r="G582">
        <v>9</v>
      </c>
      <c r="H582">
        <v>43.749000000000002</v>
      </c>
      <c r="I582">
        <f t="shared" si="9"/>
        <v>874.98</v>
      </c>
      <c r="J582">
        <v>918.72900000000004</v>
      </c>
    </row>
    <row r="583" spans="1:10" x14ac:dyDescent="0.35">
      <c r="A583" t="s">
        <v>25</v>
      </c>
      <c r="B583" t="s">
        <v>20</v>
      </c>
      <c r="C583" t="s">
        <v>21</v>
      </c>
      <c r="D583" t="s">
        <v>17</v>
      </c>
      <c r="E583" t="s">
        <v>24</v>
      </c>
      <c r="F583">
        <v>93.39</v>
      </c>
      <c r="G583">
        <v>6</v>
      </c>
      <c r="H583">
        <v>28.016999999999999</v>
      </c>
      <c r="I583">
        <f t="shared" si="9"/>
        <v>560.34</v>
      </c>
      <c r="J583">
        <v>588.35700000000008</v>
      </c>
    </row>
    <row r="584" spans="1:10" x14ac:dyDescent="0.35">
      <c r="A584" t="s">
        <v>25</v>
      </c>
      <c r="B584" t="s">
        <v>11</v>
      </c>
      <c r="C584" t="s">
        <v>12</v>
      </c>
      <c r="D584" t="s">
        <v>17</v>
      </c>
      <c r="E584" t="s">
        <v>24</v>
      </c>
      <c r="F584">
        <v>63.69</v>
      </c>
      <c r="G584">
        <v>1</v>
      </c>
      <c r="H584">
        <v>3.1844999999999999</v>
      </c>
      <c r="I584">
        <f t="shared" si="9"/>
        <v>63.69</v>
      </c>
      <c r="J584">
        <v>66.874499999999998</v>
      </c>
    </row>
    <row r="585" spans="1:10" x14ac:dyDescent="0.35">
      <c r="A585" t="s">
        <v>25</v>
      </c>
      <c r="B585" t="s">
        <v>11</v>
      </c>
      <c r="C585" t="s">
        <v>12</v>
      </c>
      <c r="D585" t="s">
        <v>17</v>
      </c>
      <c r="E585" t="s">
        <v>22</v>
      </c>
      <c r="F585">
        <v>45.79</v>
      </c>
      <c r="G585">
        <v>7</v>
      </c>
      <c r="H585">
        <v>160.26499999999999</v>
      </c>
      <c r="I585">
        <f t="shared" si="9"/>
        <v>320.52999999999997</v>
      </c>
      <c r="J585">
        <v>480.79499999999996</v>
      </c>
    </row>
    <row r="586" spans="1:10" x14ac:dyDescent="0.35">
      <c r="A586" t="s">
        <v>25</v>
      </c>
      <c r="B586" t="s">
        <v>15</v>
      </c>
      <c r="C586" t="s">
        <v>16</v>
      </c>
      <c r="D586" t="s">
        <v>17</v>
      </c>
      <c r="E586" t="s">
        <v>24</v>
      </c>
      <c r="F586">
        <v>76.400000000000006</v>
      </c>
      <c r="G586">
        <v>2</v>
      </c>
      <c r="H586">
        <v>7.64</v>
      </c>
      <c r="I586">
        <f t="shared" si="9"/>
        <v>152.80000000000001</v>
      </c>
      <c r="J586">
        <v>160.44</v>
      </c>
    </row>
    <row r="587" spans="1:10" x14ac:dyDescent="0.35">
      <c r="A587" t="s">
        <v>25</v>
      </c>
      <c r="B587" t="s">
        <v>20</v>
      </c>
      <c r="C587" t="s">
        <v>21</v>
      </c>
      <c r="D587" t="s">
        <v>17</v>
      </c>
      <c r="E587" t="s">
        <v>22</v>
      </c>
      <c r="F587">
        <v>39.9</v>
      </c>
      <c r="G587">
        <v>10</v>
      </c>
      <c r="H587">
        <v>19.95</v>
      </c>
      <c r="I587">
        <f t="shared" si="9"/>
        <v>399</v>
      </c>
      <c r="J587">
        <v>418.95</v>
      </c>
    </row>
    <row r="588" spans="1:10" x14ac:dyDescent="0.35">
      <c r="A588" t="s">
        <v>25</v>
      </c>
      <c r="B588" t="s">
        <v>20</v>
      </c>
      <c r="C588" t="s">
        <v>21</v>
      </c>
      <c r="D588" t="s">
        <v>13</v>
      </c>
      <c r="E588" t="s">
        <v>14</v>
      </c>
      <c r="F588">
        <v>42.57</v>
      </c>
      <c r="G588">
        <v>8</v>
      </c>
      <c r="H588">
        <v>17.027999999999999</v>
      </c>
      <c r="I588">
        <f t="shared" si="9"/>
        <v>340.56</v>
      </c>
      <c r="J588">
        <v>357.58800000000002</v>
      </c>
    </row>
    <row r="589" spans="1:10" x14ac:dyDescent="0.35">
      <c r="A589" t="s">
        <v>25</v>
      </c>
      <c r="B589" t="s">
        <v>15</v>
      </c>
      <c r="C589" t="s">
        <v>16</v>
      </c>
      <c r="D589" t="s">
        <v>17</v>
      </c>
      <c r="E589" t="s">
        <v>19</v>
      </c>
      <c r="F589">
        <v>95.58</v>
      </c>
      <c r="G589">
        <v>10</v>
      </c>
      <c r="H589">
        <v>47.79</v>
      </c>
      <c r="I589">
        <f t="shared" si="9"/>
        <v>955.8</v>
      </c>
      <c r="J589">
        <v>1003.5899999999999</v>
      </c>
    </row>
    <row r="590" spans="1:10" x14ac:dyDescent="0.35">
      <c r="A590" t="s">
        <v>25</v>
      </c>
      <c r="B590" t="s">
        <v>11</v>
      </c>
      <c r="C590" t="s">
        <v>12</v>
      </c>
      <c r="D590" t="s">
        <v>17</v>
      </c>
      <c r="E590" t="s">
        <v>23</v>
      </c>
      <c r="F590">
        <v>98.98</v>
      </c>
      <c r="G590">
        <v>10</v>
      </c>
      <c r="H590">
        <v>49.49</v>
      </c>
      <c r="I590">
        <f t="shared" si="9"/>
        <v>989.80000000000007</v>
      </c>
      <c r="J590">
        <v>1039.29</v>
      </c>
    </row>
    <row r="591" spans="1:10" x14ac:dyDescent="0.35">
      <c r="A591" t="s">
        <v>25</v>
      </c>
      <c r="B591" t="s">
        <v>11</v>
      </c>
      <c r="C591" t="s">
        <v>12</v>
      </c>
      <c r="D591" t="s">
        <v>17</v>
      </c>
      <c r="E591" t="s">
        <v>22</v>
      </c>
      <c r="F591">
        <v>51.28</v>
      </c>
      <c r="G591">
        <v>6</v>
      </c>
      <c r="H591">
        <v>15.384</v>
      </c>
      <c r="I591">
        <f t="shared" si="9"/>
        <v>307.68</v>
      </c>
      <c r="J591">
        <v>323.06400000000002</v>
      </c>
    </row>
    <row r="592" spans="1:10" x14ac:dyDescent="0.35">
      <c r="A592" t="s">
        <v>25</v>
      </c>
      <c r="B592" t="s">
        <v>11</v>
      </c>
      <c r="C592" t="s">
        <v>12</v>
      </c>
      <c r="D592" t="s">
        <v>13</v>
      </c>
      <c r="E592" t="s">
        <v>24</v>
      </c>
      <c r="F592">
        <v>69.52</v>
      </c>
      <c r="G592">
        <v>7</v>
      </c>
      <c r="H592">
        <v>24.332000000000001</v>
      </c>
      <c r="I592">
        <f t="shared" si="9"/>
        <v>486.64</v>
      </c>
      <c r="J592">
        <v>510.97199999999998</v>
      </c>
    </row>
    <row r="593" spans="1:10" x14ac:dyDescent="0.35">
      <c r="A593" t="s">
        <v>25</v>
      </c>
      <c r="B593" t="s">
        <v>11</v>
      </c>
      <c r="C593" t="s">
        <v>12</v>
      </c>
      <c r="D593" t="s">
        <v>17</v>
      </c>
      <c r="E593" t="s">
        <v>14</v>
      </c>
      <c r="F593">
        <v>70.010000000000005</v>
      </c>
      <c r="G593">
        <v>5</v>
      </c>
      <c r="H593">
        <v>175.02500000000001</v>
      </c>
      <c r="I593">
        <f t="shared" si="9"/>
        <v>350.05</v>
      </c>
      <c r="J593">
        <v>525.07500000000005</v>
      </c>
    </row>
    <row r="594" spans="1:10" x14ac:dyDescent="0.35">
      <c r="A594" t="s">
        <v>25</v>
      </c>
      <c r="B594" t="s">
        <v>20</v>
      </c>
      <c r="C594" t="s">
        <v>21</v>
      </c>
      <c r="D594" t="s">
        <v>13</v>
      </c>
      <c r="E594" t="s">
        <v>22</v>
      </c>
      <c r="F594">
        <v>80.05</v>
      </c>
      <c r="G594">
        <v>5</v>
      </c>
      <c r="H594">
        <v>200.125</v>
      </c>
      <c r="I594">
        <f t="shared" si="9"/>
        <v>400.25</v>
      </c>
      <c r="J594">
        <v>600.375</v>
      </c>
    </row>
    <row r="595" spans="1:10" x14ac:dyDescent="0.35">
      <c r="A595" t="s">
        <v>25</v>
      </c>
      <c r="B595" t="s">
        <v>15</v>
      </c>
      <c r="C595" t="s">
        <v>16</v>
      </c>
      <c r="D595" t="s">
        <v>17</v>
      </c>
      <c r="E595" t="s">
        <v>18</v>
      </c>
      <c r="F595">
        <v>20.85</v>
      </c>
      <c r="G595">
        <v>8</v>
      </c>
      <c r="H595">
        <v>8.34</v>
      </c>
      <c r="I595">
        <f t="shared" si="9"/>
        <v>166.8</v>
      </c>
      <c r="J595">
        <v>175.14000000000001</v>
      </c>
    </row>
    <row r="596" spans="1:10" x14ac:dyDescent="0.35">
      <c r="A596" t="s">
        <v>25</v>
      </c>
      <c r="B596" t="s">
        <v>20</v>
      </c>
      <c r="C596" t="s">
        <v>21</v>
      </c>
      <c r="D596" t="s">
        <v>13</v>
      </c>
      <c r="E596" t="s">
        <v>18</v>
      </c>
      <c r="F596">
        <v>52.89</v>
      </c>
      <c r="G596">
        <v>6</v>
      </c>
      <c r="H596">
        <v>15.867000000000001</v>
      </c>
      <c r="I596">
        <f t="shared" si="9"/>
        <v>317.34000000000003</v>
      </c>
      <c r="J596">
        <v>333.20700000000005</v>
      </c>
    </row>
    <row r="597" spans="1:10" x14ac:dyDescent="0.35">
      <c r="A597" t="s">
        <v>25</v>
      </c>
      <c r="B597" t="s">
        <v>20</v>
      </c>
      <c r="C597" t="s">
        <v>21</v>
      </c>
      <c r="D597" t="s">
        <v>17</v>
      </c>
      <c r="E597" t="s">
        <v>22</v>
      </c>
      <c r="F597">
        <v>19.79</v>
      </c>
      <c r="G597">
        <v>8</v>
      </c>
      <c r="H597">
        <v>7.9160000000000004</v>
      </c>
      <c r="I597">
        <f t="shared" si="9"/>
        <v>158.32</v>
      </c>
      <c r="J597">
        <v>166.23599999999999</v>
      </c>
    </row>
    <row r="598" spans="1:10" x14ac:dyDescent="0.35">
      <c r="A598" t="s">
        <v>25</v>
      </c>
      <c r="B598" t="s">
        <v>11</v>
      </c>
      <c r="C598" t="s">
        <v>12</v>
      </c>
      <c r="D598" t="s">
        <v>13</v>
      </c>
      <c r="E598" t="s">
        <v>19</v>
      </c>
      <c r="F598">
        <v>33.840000000000003</v>
      </c>
      <c r="G598">
        <v>9</v>
      </c>
      <c r="H598">
        <v>15.228</v>
      </c>
      <c r="I598">
        <f t="shared" si="9"/>
        <v>304.56000000000006</v>
      </c>
      <c r="J598">
        <v>319.78800000000007</v>
      </c>
    </row>
    <row r="599" spans="1:10" x14ac:dyDescent="0.35">
      <c r="A599" t="s">
        <v>25</v>
      </c>
      <c r="B599" t="s">
        <v>11</v>
      </c>
      <c r="C599" t="s">
        <v>12</v>
      </c>
      <c r="D599" t="s">
        <v>13</v>
      </c>
      <c r="E599" t="s">
        <v>22</v>
      </c>
      <c r="F599">
        <v>22.17</v>
      </c>
      <c r="G599">
        <v>8</v>
      </c>
      <c r="H599">
        <v>8.8680000000000003</v>
      </c>
      <c r="I599">
        <f t="shared" si="9"/>
        <v>177.36</v>
      </c>
      <c r="J599">
        <v>186.22800000000001</v>
      </c>
    </row>
    <row r="600" spans="1:10" x14ac:dyDescent="0.35">
      <c r="A600" t="s">
        <v>25</v>
      </c>
      <c r="B600" t="s">
        <v>11</v>
      </c>
      <c r="C600" t="s">
        <v>12</v>
      </c>
      <c r="D600" t="s">
        <v>17</v>
      </c>
      <c r="E600" t="s">
        <v>22</v>
      </c>
      <c r="F600">
        <v>73.88</v>
      </c>
      <c r="G600">
        <v>6</v>
      </c>
      <c r="H600">
        <v>22.164000000000001</v>
      </c>
      <c r="I600">
        <f t="shared" si="9"/>
        <v>443.28</v>
      </c>
      <c r="J600">
        <v>465.44399999999996</v>
      </c>
    </row>
    <row r="601" spans="1:10" x14ac:dyDescent="0.35">
      <c r="A601" t="s">
        <v>25</v>
      </c>
      <c r="B601" t="s">
        <v>15</v>
      </c>
      <c r="C601" t="s">
        <v>16</v>
      </c>
      <c r="D601" t="s">
        <v>13</v>
      </c>
      <c r="E601" t="s">
        <v>14</v>
      </c>
      <c r="F601">
        <v>86.8</v>
      </c>
      <c r="G601">
        <v>3</v>
      </c>
      <c r="H601">
        <v>13.02</v>
      </c>
      <c r="I601">
        <f t="shared" si="9"/>
        <v>260.39999999999998</v>
      </c>
      <c r="J601">
        <v>273.41999999999996</v>
      </c>
    </row>
    <row r="602" spans="1:10" x14ac:dyDescent="0.35">
      <c r="A602" t="s">
        <v>25</v>
      </c>
      <c r="B602" t="s">
        <v>15</v>
      </c>
      <c r="C602" t="s">
        <v>16</v>
      </c>
      <c r="D602" t="s">
        <v>17</v>
      </c>
      <c r="E602" t="s">
        <v>23</v>
      </c>
      <c r="F602">
        <v>64.260000000000005</v>
      </c>
      <c r="G602">
        <v>7</v>
      </c>
      <c r="H602">
        <v>22.491</v>
      </c>
      <c r="I602">
        <f t="shared" si="9"/>
        <v>449.82000000000005</v>
      </c>
      <c r="J602">
        <v>472.31100000000004</v>
      </c>
    </row>
    <row r="603" spans="1:10" x14ac:dyDescent="0.35">
      <c r="A603" t="s">
        <v>25</v>
      </c>
      <c r="B603" t="s">
        <v>15</v>
      </c>
      <c r="C603" t="s">
        <v>16</v>
      </c>
      <c r="D603" t="s">
        <v>13</v>
      </c>
      <c r="E603" t="s">
        <v>22</v>
      </c>
      <c r="F603">
        <v>38.47</v>
      </c>
      <c r="G603">
        <v>8</v>
      </c>
      <c r="H603">
        <v>15.388</v>
      </c>
      <c r="I603">
        <f t="shared" si="9"/>
        <v>307.76</v>
      </c>
      <c r="J603">
        <v>323.14799999999997</v>
      </c>
    </row>
    <row r="604" spans="1:10" x14ac:dyDescent="0.35">
      <c r="A604" t="s">
        <v>25</v>
      </c>
      <c r="B604" t="s">
        <v>11</v>
      </c>
      <c r="C604" t="s">
        <v>12</v>
      </c>
      <c r="D604" t="s">
        <v>13</v>
      </c>
      <c r="E604" t="s">
        <v>24</v>
      </c>
      <c r="F604">
        <v>15.5</v>
      </c>
      <c r="G604">
        <v>10</v>
      </c>
      <c r="H604">
        <v>7.75</v>
      </c>
      <c r="I604">
        <f t="shared" si="9"/>
        <v>155</v>
      </c>
      <c r="J604">
        <v>162.75</v>
      </c>
    </row>
    <row r="605" spans="1:10" x14ac:dyDescent="0.35">
      <c r="A605" t="s">
        <v>25</v>
      </c>
      <c r="B605" t="s">
        <v>15</v>
      </c>
      <c r="C605" t="s">
        <v>16</v>
      </c>
      <c r="D605" t="s">
        <v>17</v>
      </c>
      <c r="E605" t="s">
        <v>14</v>
      </c>
      <c r="F605">
        <v>34.31</v>
      </c>
      <c r="G605">
        <v>8</v>
      </c>
      <c r="H605">
        <v>13.724</v>
      </c>
      <c r="I605">
        <f t="shared" si="9"/>
        <v>274.48</v>
      </c>
      <c r="J605">
        <v>288.20400000000001</v>
      </c>
    </row>
    <row r="606" spans="1:10" x14ac:dyDescent="0.35">
      <c r="A606" t="s">
        <v>25</v>
      </c>
      <c r="B606" t="s">
        <v>20</v>
      </c>
      <c r="C606" t="s">
        <v>21</v>
      </c>
      <c r="D606" t="s">
        <v>13</v>
      </c>
      <c r="E606" t="s">
        <v>22</v>
      </c>
      <c r="F606">
        <v>18.079999999999998</v>
      </c>
      <c r="G606">
        <v>3</v>
      </c>
      <c r="H606">
        <v>2.7120000000000002</v>
      </c>
      <c r="I606">
        <f t="shared" si="9"/>
        <v>54.239999999999995</v>
      </c>
      <c r="J606">
        <v>56.951999999999998</v>
      </c>
    </row>
    <row r="607" spans="1:10" x14ac:dyDescent="0.35">
      <c r="A607" t="s">
        <v>25</v>
      </c>
      <c r="B607" t="s">
        <v>20</v>
      </c>
      <c r="C607" t="s">
        <v>21</v>
      </c>
      <c r="D607" t="s">
        <v>13</v>
      </c>
      <c r="E607" t="s">
        <v>19</v>
      </c>
      <c r="F607">
        <v>46.47</v>
      </c>
      <c r="G607">
        <v>4</v>
      </c>
      <c r="H607">
        <v>9.2940000000000005</v>
      </c>
      <c r="I607">
        <f t="shared" si="9"/>
        <v>185.88</v>
      </c>
      <c r="J607">
        <v>195.17400000000001</v>
      </c>
    </row>
    <row r="608" spans="1:10" x14ac:dyDescent="0.35">
      <c r="A608" t="s">
        <v>25</v>
      </c>
      <c r="B608" t="s">
        <v>11</v>
      </c>
      <c r="C608" t="s">
        <v>12</v>
      </c>
      <c r="D608" t="s">
        <v>17</v>
      </c>
      <c r="E608" t="s">
        <v>19</v>
      </c>
      <c r="F608">
        <v>74.069999999999993</v>
      </c>
      <c r="G608">
        <v>1</v>
      </c>
      <c r="H608">
        <v>3.7035</v>
      </c>
      <c r="I608">
        <f t="shared" si="9"/>
        <v>74.069999999999993</v>
      </c>
      <c r="J608">
        <v>77.773499999999999</v>
      </c>
    </row>
    <row r="609" spans="1:10" x14ac:dyDescent="0.35">
      <c r="A609" t="s">
        <v>25</v>
      </c>
      <c r="B609" t="s">
        <v>20</v>
      </c>
      <c r="C609" t="s">
        <v>21</v>
      </c>
      <c r="D609" t="s">
        <v>17</v>
      </c>
      <c r="E609" t="s">
        <v>19</v>
      </c>
      <c r="F609">
        <v>25.55</v>
      </c>
      <c r="G609">
        <v>4</v>
      </c>
      <c r="H609">
        <v>5.1100000000000003</v>
      </c>
      <c r="I609">
        <f t="shared" si="9"/>
        <v>102.2</v>
      </c>
      <c r="J609">
        <v>107.31</v>
      </c>
    </row>
    <row r="610" spans="1:10" x14ac:dyDescent="0.35">
      <c r="A610" t="s">
        <v>25</v>
      </c>
      <c r="B610" t="s">
        <v>11</v>
      </c>
      <c r="C610" t="s">
        <v>12</v>
      </c>
      <c r="D610" t="s">
        <v>17</v>
      </c>
      <c r="E610" t="s">
        <v>18</v>
      </c>
      <c r="F610">
        <v>32.71</v>
      </c>
      <c r="G610">
        <v>5</v>
      </c>
      <c r="H610">
        <v>8.1775000000000002</v>
      </c>
      <c r="I610">
        <f t="shared" si="9"/>
        <v>163.55000000000001</v>
      </c>
      <c r="J610">
        <v>171.72750000000002</v>
      </c>
    </row>
    <row r="611" spans="1:10" x14ac:dyDescent="0.35">
      <c r="A611" t="s">
        <v>25</v>
      </c>
      <c r="B611" t="s">
        <v>15</v>
      </c>
      <c r="C611" t="s">
        <v>16</v>
      </c>
      <c r="D611" t="s">
        <v>13</v>
      </c>
      <c r="E611" t="s">
        <v>14</v>
      </c>
      <c r="F611">
        <v>43.7</v>
      </c>
      <c r="G611">
        <v>2</v>
      </c>
      <c r="H611">
        <v>4.37</v>
      </c>
      <c r="I611">
        <f t="shared" si="9"/>
        <v>87.4</v>
      </c>
      <c r="J611">
        <v>91.77000000000001</v>
      </c>
    </row>
    <row r="612" spans="1:10" x14ac:dyDescent="0.35">
      <c r="A612" t="s">
        <v>25</v>
      </c>
      <c r="B612" t="s">
        <v>15</v>
      </c>
      <c r="C612" t="s">
        <v>16</v>
      </c>
      <c r="D612" t="s">
        <v>17</v>
      </c>
      <c r="E612" t="s">
        <v>14</v>
      </c>
      <c r="F612">
        <v>41.5</v>
      </c>
      <c r="G612">
        <v>4</v>
      </c>
      <c r="H612">
        <v>8.3000000000000007</v>
      </c>
      <c r="I612">
        <f t="shared" si="9"/>
        <v>166</v>
      </c>
      <c r="J612">
        <v>174.3</v>
      </c>
    </row>
    <row r="613" spans="1:10" x14ac:dyDescent="0.35">
      <c r="A613" t="s">
        <v>25</v>
      </c>
      <c r="B613" t="s">
        <v>15</v>
      </c>
      <c r="C613" t="s">
        <v>16</v>
      </c>
      <c r="D613" t="s">
        <v>17</v>
      </c>
      <c r="E613" t="s">
        <v>18</v>
      </c>
      <c r="F613">
        <v>61.41</v>
      </c>
      <c r="G613">
        <v>7</v>
      </c>
      <c r="H613">
        <v>214.935</v>
      </c>
      <c r="I613">
        <f t="shared" si="9"/>
        <v>429.87</v>
      </c>
      <c r="J613">
        <v>644.80500000000006</v>
      </c>
    </row>
    <row r="614" spans="1:10" x14ac:dyDescent="0.35">
      <c r="A614" t="s">
        <v>25</v>
      </c>
      <c r="B614" t="s">
        <v>20</v>
      </c>
      <c r="C614" t="s">
        <v>21</v>
      </c>
      <c r="D614" t="s">
        <v>13</v>
      </c>
      <c r="E614" t="s">
        <v>14</v>
      </c>
      <c r="F614">
        <v>25.9</v>
      </c>
      <c r="G614">
        <v>10</v>
      </c>
      <c r="H614">
        <v>12.95</v>
      </c>
      <c r="I614">
        <f t="shared" si="9"/>
        <v>259</v>
      </c>
      <c r="J614">
        <v>271.95</v>
      </c>
    </row>
    <row r="615" spans="1:10" x14ac:dyDescent="0.35">
      <c r="A615" t="s">
        <v>25</v>
      </c>
      <c r="B615" t="s">
        <v>20</v>
      </c>
      <c r="C615" t="s">
        <v>21</v>
      </c>
      <c r="D615" t="s">
        <v>13</v>
      </c>
      <c r="E615" t="s">
        <v>19</v>
      </c>
      <c r="F615">
        <v>17.77</v>
      </c>
      <c r="G615">
        <v>5</v>
      </c>
      <c r="H615">
        <v>4.4424999999999999</v>
      </c>
      <c r="I615">
        <f t="shared" si="9"/>
        <v>88.85</v>
      </c>
      <c r="J615">
        <v>93.29249999999999</v>
      </c>
    </row>
    <row r="616" spans="1:10" x14ac:dyDescent="0.35">
      <c r="A616" t="s">
        <v>25</v>
      </c>
      <c r="B616" t="s">
        <v>11</v>
      </c>
      <c r="C616" t="s">
        <v>12</v>
      </c>
      <c r="D616" t="s">
        <v>17</v>
      </c>
      <c r="E616" t="s">
        <v>18</v>
      </c>
      <c r="F616">
        <v>26.23</v>
      </c>
      <c r="G616">
        <v>9</v>
      </c>
      <c r="H616">
        <v>11.8035</v>
      </c>
      <c r="I616">
        <f t="shared" si="9"/>
        <v>236.07</v>
      </c>
      <c r="J616">
        <v>247.87349999999998</v>
      </c>
    </row>
    <row r="617" spans="1:10" x14ac:dyDescent="0.35">
      <c r="A617" t="s">
        <v>25</v>
      </c>
      <c r="B617" t="s">
        <v>20</v>
      </c>
      <c r="C617" t="s">
        <v>21</v>
      </c>
      <c r="D617" t="s">
        <v>17</v>
      </c>
      <c r="E617" t="s">
        <v>19</v>
      </c>
      <c r="F617">
        <v>92.36</v>
      </c>
      <c r="G617">
        <v>5</v>
      </c>
      <c r="H617">
        <v>23.09</v>
      </c>
      <c r="I617">
        <f t="shared" si="9"/>
        <v>461.8</v>
      </c>
      <c r="J617">
        <v>484.89</v>
      </c>
    </row>
    <row r="618" spans="1:10" x14ac:dyDescent="0.35">
      <c r="A618" t="s">
        <v>25</v>
      </c>
      <c r="B618" t="s">
        <v>20</v>
      </c>
      <c r="C618" t="s">
        <v>21</v>
      </c>
      <c r="D618" t="s">
        <v>17</v>
      </c>
      <c r="E618" t="s">
        <v>24</v>
      </c>
      <c r="F618">
        <v>46.42</v>
      </c>
      <c r="G618">
        <v>3</v>
      </c>
      <c r="H618">
        <v>6.9630000000000001</v>
      </c>
      <c r="I618">
        <f t="shared" si="9"/>
        <v>139.26</v>
      </c>
      <c r="J618">
        <v>146.22299999999998</v>
      </c>
    </row>
    <row r="619" spans="1:10" x14ac:dyDescent="0.35">
      <c r="A619" t="s">
        <v>25</v>
      </c>
      <c r="B619" t="s">
        <v>11</v>
      </c>
      <c r="C619" t="s">
        <v>12</v>
      </c>
      <c r="D619" t="s">
        <v>17</v>
      </c>
      <c r="E619" t="s">
        <v>19</v>
      </c>
      <c r="F619">
        <v>18.28</v>
      </c>
      <c r="G619">
        <v>1</v>
      </c>
      <c r="H619">
        <v>914</v>
      </c>
      <c r="I619">
        <f t="shared" si="9"/>
        <v>18.28</v>
      </c>
      <c r="J619">
        <v>932.28</v>
      </c>
    </row>
    <row r="620" spans="1:10" x14ac:dyDescent="0.35">
      <c r="A620" t="s">
        <v>25</v>
      </c>
      <c r="B620" t="s">
        <v>20</v>
      </c>
      <c r="C620" t="s">
        <v>21</v>
      </c>
      <c r="D620" t="s">
        <v>17</v>
      </c>
      <c r="E620" t="s">
        <v>23</v>
      </c>
      <c r="F620">
        <v>94.87</v>
      </c>
      <c r="G620">
        <v>8</v>
      </c>
      <c r="H620">
        <v>37.948</v>
      </c>
      <c r="I620">
        <f t="shared" si="9"/>
        <v>758.96</v>
      </c>
      <c r="J620">
        <v>796.90800000000002</v>
      </c>
    </row>
    <row r="621" spans="1:10" x14ac:dyDescent="0.35">
      <c r="A621" t="s">
        <v>25</v>
      </c>
      <c r="B621" t="s">
        <v>20</v>
      </c>
      <c r="C621" t="s">
        <v>21</v>
      </c>
      <c r="D621" t="s">
        <v>17</v>
      </c>
      <c r="E621" t="s">
        <v>18</v>
      </c>
      <c r="F621">
        <v>45.35</v>
      </c>
      <c r="G621">
        <v>6</v>
      </c>
      <c r="H621">
        <v>13.605</v>
      </c>
      <c r="I621">
        <f t="shared" si="9"/>
        <v>272.10000000000002</v>
      </c>
      <c r="J621">
        <v>285.70500000000004</v>
      </c>
    </row>
    <row r="622" spans="1:10" x14ac:dyDescent="0.35">
      <c r="A622" t="s">
        <v>25</v>
      </c>
      <c r="B622" t="s">
        <v>20</v>
      </c>
      <c r="C622" t="s">
        <v>21</v>
      </c>
      <c r="D622" t="s">
        <v>17</v>
      </c>
      <c r="E622" t="s">
        <v>22</v>
      </c>
      <c r="F622">
        <v>62.08</v>
      </c>
      <c r="G622">
        <v>7</v>
      </c>
      <c r="H622">
        <v>21.728000000000002</v>
      </c>
      <c r="I622">
        <f t="shared" si="9"/>
        <v>434.56</v>
      </c>
      <c r="J622">
        <v>456.28800000000001</v>
      </c>
    </row>
    <row r="623" spans="1:10" x14ac:dyDescent="0.35">
      <c r="A623" t="s">
        <v>25</v>
      </c>
      <c r="B623" t="s">
        <v>15</v>
      </c>
      <c r="C623" t="s">
        <v>16</v>
      </c>
      <c r="D623" t="s">
        <v>17</v>
      </c>
      <c r="E623" t="s">
        <v>18</v>
      </c>
      <c r="F623">
        <v>11.81</v>
      </c>
      <c r="G623">
        <v>5</v>
      </c>
      <c r="H623">
        <v>2.9525000000000001</v>
      </c>
      <c r="I623">
        <f t="shared" si="9"/>
        <v>59.050000000000004</v>
      </c>
      <c r="J623">
        <v>62.002500000000005</v>
      </c>
    </row>
    <row r="624" spans="1:10" x14ac:dyDescent="0.35">
      <c r="A624" t="s">
        <v>25</v>
      </c>
      <c r="B624" t="s">
        <v>11</v>
      </c>
      <c r="C624" t="s">
        <v>12</v>
      </c>
      <c r="D624" t="s">
        <v>17</v>
      </c>
      <c r="E624" t="s">
        <v>22</v>
      </c>
      <c r="F624">
        <v>43.25</v>
      </c>
      <c r="G624">
        <v>2</v>
      </c>
      <c r="H624">
        <v>4.3250000000000002</v>
      </c>
      <c r="I624">
        <f t="shared" si="9"/>
        <v>86.5</v>
      </c>
      <c r="J624">
        <v>90.825000000000003</v>
      </c>
    </row>
    <row r="625" spans="1:10" x14ac:dyDescent="0.35">
      <c r="A625" t="s">
        <v>25</v>
      </c>
      <c r="B625" t="s">
        <v>20</v>
      </c>
      <c r="C625" t="s">
        <v>21</v>
      </c>
      <c r="D625" t="s">
        <v>13</v>
      </c>
      <c r="E625" t="s">
        <v>14</v>
      </c>
      <c r="F625">
        <v>69.37</v>
      </c>
      <c r="G625">
        <v>9</v>
      </c>
      <c r="H625">
        <v>312.16500000000002</v>
      </c>
      <c r="I625">
        <f t="shared" si="9"/>
        <v>624.33000000000004</v>
      </c>
      <c r="J625">
        <v>936.49500000000012</v>
      </c>
    </row>
    <row r="626" spans="1:10" x14ac:dyDescent="0.35">
      <c r="A626" t="s">
        <v>25</v>
      </c>
      <c r="B626" t="s">
        <v>15</v>
      </c>
      <c r="C626" t="s">
        <v>16</v>
      </c>
      <c r="D626" t="s">
        <v>13</v>
      </c>
      <c r="E626" t="s">
        <v>18</v>
      </c>
      <c r="F626">
        <v>37.06</v>
      </c>
      <c r="G626">
        <v>4</v>
      </c>
      <c r="H626">
        <v>7.4119999999999999</v>
      </c>
      <c r="I626">
        <f t="shared" si="9"/>
        <v>148.24</v>
      </c>
      <c r="J626">
        <v>155.65200000000002</v>
      </c>
    </row>
    <row r="627" spans="1:10" x14ac:dyDescent="0.35">
      <c r="A627" t="s">
        <v>25</v>
      </c>
      <c r="B627" t="s">
        <v>20</v>
      </c>
      <c r="C627" t="s">
        <v>21</v>
      </c>
      <c r="D627" t="s">
        <v>13</v>
      </c>
      <c r="E627" t="s">
        <v>23</v>
      </c>
      <c r="F627">
        <v>73.819999999999993</v>
      </c>
      <c r="G627">
        <v>4</v>
      </c>
      <c r="H627">
        <v>14.763999999999999</v>
      </c>
      <c r="I627">
        <f t="shared" si="9"/>
        <v>295.27999999999997</v>
      </c>
      <c r="J627">
        <v>310.04399999999998</v>
      </c>
    </row>
    <row r="628" spans="1:10" x14ac:dyDescent="0.35">
      <c r="A628" t="s">
        <v>25</v>
      </c>
      <c r="B628" t="s">
        <v>11</v>
      </c>
      <c r="C628" t="s">
        <v>12</v>
      </c>
      <c r="D628" t="s">
        <v>13</v>
      </c>
      <c r="E628" t="s">
        <v>14</v>
      </c>
      <c r="F628">
        <v>51.94</v>
      </c>
      <c r="G628">
        <v>10</v>
      </c>
      <c r="H628">
        <v>25.97</v>
      </c>
      <c r="I628">
        <f t="shared" si="9"/>
        <v>519.4</v>
      </c>
      <c r="J628">
        <v>545.37</v>
      </c>
    </row>
    <row r="629" spans="1:10" x14ac:dyDescent="0.35">
      <c r="A629" t="s">
        <v>25</v>
      </c>
      <c r="B629" t="s">
        <v>15</v>
      </c>
      <c r="C629" t="s">
        <v>16</v>
      </c>
      <c r="D629" t="s">
        <v>17</v>
      </c>
      <c r="E629" t="s">
        <v>14</v>
      </c>
      <c r="F629">
        <v>17.41</v>
      </c>
      <c r="G629">
        <v>5</v>
      </c>
      <c r="H629">
        <v>4.3525</v>
      </c>
      <c r="I629">
        <f t="shared" si="9"/>
        <v>87.05</v>
      </c>
      <c r="J629">
        <v>91.402500000000003</v>
      </c>
    </row>
    <row r="630" spans="1:10" x14ac:dyDescent="0.35">
      <c r="A630" t="s">
        <v>25</v>
      </c>
      <c r="B630" t="s">
        <v>11</v>
      </c>
      <c r="C630" t="s">
        <v>12</v>
      </c>
      <c r="D630" t="s">
        <v>17</v>
      </c>
      <c r="E630" t="s">
        <v>23</v>
      </c>
      <c r="F630">
        <v>89.69</v>
      </c>
      <c r="G630">
        <v>1</v>
      </c>
      <c r="H630">
        <v>4.4844999999999997</v>
      </c>
      <c r="I630">
        <f t="shared" si="9"/>
        <v>89.69</v>
      </c>
      <c r="J630">
        <v>94.174499999999995</v>
      </c>
    </row>
    <row r="631" spans="1:10" x14ac:dyDescent="0.35">
      <c r="A631" t="s">
        <v>25</v>
      </c>
      <c r="B631" t="s">
        <v>11</v>
      </c>
      <c r="C631" t="s">
        <v>12</v>
      </c>
      <c r="D631" t="s">
        <v>17</v>
      </c>
      <c r="E631" t="s">
        <v>22</v>
      </c>
      <c r="F631">
        <v>24.94</v>
      </c>
      <c r="G631">
        <v>9</v>
      </c>
      <c r="H631">
        <v>11.223000000000001</v>
      </c>
      <c r="I631">
        <f t="shared" si="9"/>
        <v>224.46</v>
      </c>
      <c r="J631">
        <v>235.68300000000002</v>
      </c>
    </row>
    <row r="632" spans="1:10" x14ac:dyDescent="0.35">
      <c r="A632" t="s">
        <v>25</v>
      </c>
      <c r="B632" t="s">
        <v>11</v>
      </c>
      <c r="C632" t="s">
        <v>12</v>
      </c>
      <c r="D632" t="s">
        <v>17</v>
      </c>
      <c r="E632" t="s">
        <v>14</v>
      </c>
      <c r="F632">
        <v>59.77</v>
      </c>
      <c r="G632">
        <v>2</v>
      </c>
      <c r="H632">
        <v>5.9770000000000003</v>
      </c>
      <c r="I632">
        <f t="shared" si="9"/>
        <v>119.54</v>
      </c>
      <c r="J632">
        <v>125.51700000000001</v>
      </c>
    </row>
    <row r="633" spans="1:10" x14ac:dyDescent="0.35">
      <c r="A633" t="s">
        <v>25</v>
      </c>
      <c r="B633" t="s">
        <v>15</v>
      </c>
      <c r="C633" t="s">
        <v>16</v>
      </c>
      <c r="D633" t="s">
        <v>13</v>
      </c>
      <c r="E633" t="s">
        <v>23</v>
      </c>
      <c r="F633">
        <v>93.2</v>
      </c>
      <c r="G633">
        <v>2</v>
      </c>
      <c r="H633">
        <v>9.32</v>
      </c>
      <c r="I633">
        <f t="shared" si="9"/>
        <v>186.4</v>
      </c>
      <c r="J633">
        <v>195.72</v>
      </c>
    </row>
    <row r="634" spans="1:10" x14ac:dyDescent="0.35">
      <c r="A634" t="s">
        <v>25</v>
      </c>
      <c r="B634" t="s">
        <v>11</v>
      </c>
      <c r="C634" t="s">
        <v>12</v>
      </c>
      <c r="D634" t="s">
        <v>13</v>
      </c>
      <c r="E634" t="s">
        <v>19</v>
      </c>
      <c r="F634">
        <v>62.65</v>
      </c>
      <c r="G634">
        <v>4</v>
      </c>
      <c r="H634">
        <v>12.53</v>
      </c>
      <c r="I634">
        <f t="shared" si="9"/>
        <v>250.6</v>
      </c>
      <c r="J634">
        <v>263.13</v>
      </c>
    </row>
    <row r="635" spans="1:10" x14ac:dyDescent="0.35">
      <c r="A635" t="s">
        <v>25</v>
      </c>
      <c r="B635" t="s">
        <v>20</v>
      </c>
      <c r="C635" t="s">
        <v>21</v>
      </c>
      <c r="D635" t="s">
        <v>17</v>
      </c>
      <c r="E635" t="s">
        <v>19</v>
      </c>
      <c r="F635">
        <v>93.87</v>
      </c>
      <c r="G635">
        <v>8</v>
      </c>
      <c r="H635">
        <v>37.548000000000002</v>
      </c>
      <c r="I635">
        <f t="shared" si="9"/>
        <v>750.96</v>
      </c>
      <c r="J635">
        <v>788.50800000000004</v>
      </c>
    </row>
    <row r="636" spans="1:10" x14ac:dyDescent="0.35">
      <c r="A636" t="s">
        <v>25</v>
      </c>
      <c r="B636" t="s">
        <v>11</v>
      </c>
      <c r="C636" t="s">
        <v>12</v>
      </c>
      <c r="D636" t="s">
        <v>13</v>
      </c>
      <c r="E636" t="s">
        <v>19</v>
      </c>
      <c r="F636">
        <v>47.59</v>
      </c>
      <c r="G636">
        <v>8</v>
      </c>
      <c r="H636">
        <v>19.036000000000001</v>
      </c>
      <c r="I636">
        <f t="shared" si="9"/>
        <v>380.72</v>
      </c>
      <c r="J636">
        <v>399.75600000000003</v>
      </c>
    </row>
    <row r="637" spans="1:10" x14ac:dyDescent="0.35">
      <c r="A637" t="s">
        <v>25</v>
      </c>
      <c r="B637" t="s">
        <v>11</v>
      </c>
      <c r="C637" t="s">
        <v>12</v>
      </c>
      <c r="D637" t="s">
        <v>13</v>
      </c>
      <c r="E637" t="s">
        <v>23</v>
      </c>
      <c r="F637">
        <v>17.940000000000001</v>
      </c>
      <c r="G637">
        <v>5</v>
      </c>
      <c r="H637">
        <v>4.4850000000000003</v>
      </c>
      <c r="I637">
        <f t="shared" si="9"/>
        <v>89.7</v>
      </c>
      <c r="J637">
        <v>94.185000000000002</v>
      </c>
    </row>
    <row r="638" spans="1:10" x14ac:dyDescent="0.35">
      <c r="A638" t="s">
        <v>25</v>
      </c>
      <c r="B638" t="s">
        <v>11</v>
      </c>
      <c r="C638" t="s">
        <v>12</v>
      </c>
      <c r="D638" t="s">
        <v>13</v>
      </c>
      <c r="E638" t="s">
        <v>18</v>
      </c>
      <c r="F638">
        <v>77.72</v>
      </c>
      <c r="G638">
        <v>4</v>
      </c>
      <c r="H638">
        <v>15.544</v>
      </c>
      <c r="I638">
        <f t="shared" si="9"/>
        <v>310.88</v>
      </c>
      <c r="J638">
        <v>326.42399999999998</v>
      </c>
    </row>
    <row r="639" spans="1:10" x14ac:dyDescent="0.35">
      <c r="A639" t="s">
        <v>25</v>
      </c>
      <c r="B639" t="s">
        <v>20</v>
      </c>
      <c r="C639" t="s">
        <v>21</v>
      </c>
      <c r="D639" t="s">
        <v>17</v>
      </c>
      <c r="E639" t="s">
        <v>22</v>
      </c>
      <c r="F639">
        <v>73.06</v>
      </c>
      <c r="G639">
        <v>7</v>
      </c>
      <c r="H639">
        <v>25.571000000000002</v>
      </c>
      <c r="I639">
        <f t="shared" si="9"/>
        <v>511.42</v>
      </c>
      <c r="J639">
        <v>536.99099999999999</v>
      </c>
    </row>
    <row r="640" spans="1:10" x14ac:dyDescent="0.35">
      <c r="A640" t="s">
        <v>25</v>
      </c>
      <c r="B640" t="s">
        <v>20</v>
      </c>
      <c r="C640" t="s">
        <v>21</v>
      </c>
      <c r="D640" t="s">
        <v>13</v>
      </c>
      <c r="E640" t="s">
        <v>22</v>
      </c>
      <c r="F640">
        <v>46.55</v>
      </c>
      <c r="G640">
        <v>9</v>
      </c>
      <c r="H640">
        <v>209.47499999999999</v>
      </c>
      <c r="I640">
        <f t="shared" si="9"/>
        <v>418.95</v>
      </c>
      <c r="J640">
        <v>628.42499999999995</v>
      </c>
    </row>
    <row r="641" spans="1:10" x14ac:dyDescent="0.35">
      <c r="A641" t="s">
        <v>25</v>
      </c>
      <c r="B641" t="s">
        <v>15</v>
      </c>
      <c r="C641" t="s">
        <v>16</v>
      </c>
      <c r="D641" t="s">
        <v>13</v>
      </c>
      <c r="E641" t="s">
        <v>23</v>
      </c>
      <c r="F641">
        <v>35.19</v>
      </c>
      <c r="G641">
        <v>10</v>
      </c>
      <c r="H641">
        <v>17.594999999999999</v>
      </c>
      <c r="I641">
        <f t="shared" si="9"/>
        <v>351.9</v>
      </c>
      <c r="J641">
        <v>369.495</v>
      </c>
    </row>
    <row r="642" spans="1:10" x14ac:dyDescent="0.35">
      <c r="A642" t="s">
        <v>25</v>
      </c>
      <c r="B642" t="s">
        <v>11</v>
      </c>
      <c r="C642" t="s">
        <v>12</v>
      </c>
      <c r="D642" t="s">
        <v>17</v>
      </c>
      <c r="E642" t="s">
        <v>19</v>
      </c>
      <c r="F642">
        <v>23.75</v>
      </c>
      <c r="G642">
        <v>4</v>
      </c>
      <c r="H642">
        <v>4.75</v>
      </c>
      <c r="I642">
        <f t="shared" si="9"/>
        <v>95</v>
      </c>
      <c r="J642">
        <v>99.75</v>
      </c>
    </row>
    <row r="643" spans="1:10" x14ac:dyDescent="0.35">
      <c r="A643" t="s">
        <v>25</v>
      </c>
      <c r="B643" t="s">
        <v>11</v>
      </c>
      <c r="C643" t="s">
        <v>12</v>
      </c>
      <c r="D643" t="s">
        <v>13</v>
      </c>
      <c r="E643" t="s">
        <v>19</v>
      </c>
      <c r="F643">
        <v>58.9</v>
      </c>
      <c r="G643">
        <v>8</v>
      </c>
      <c r="H643">
        <v>23.56</v>
      </c>
      <c r="I643">
        <f t="shared" ref="I643:I706" si="10">F643*G643</f>
        <v>471.2</v>
      </c>
      <c r="J643">
        <v>494.76</v>
      </c>
    </row>
    <row r="644" spans="1:10" x14ac:dyDescent="0.35">
      <c r="A644" t="s">
        <v>25</v>
      </c>
      <c r="B644" t="s">
        <v>20</v>
      </c>
      <c r="C644" t="s">
        <v>21</v>
      </c>
      <c r="D644" t="s">
        <v>13</v>
      </c>
      <c r="E644" t="s">
        <v>23</v>
      </c>
      <c r="F644">
        <v>32.619999999999997</v>
      </c>
      <c r="G644">
        <v>4</v>
      </c>
      <c r="H644">
        <v>6.524</v>
      </c>
      <c r="I644">
        <f t="shared" si="10"/>
        <v>130.47999999999999</v>
      </c>
      <c r="J644">
        <v>137.00399999999999</v>
      </c>
    </row>
    <row r="645" spans="1:10" x14ac:dyDescent="0.35">
      <c r="A645" t="s">
        <v>25</v>
      </c>
      <c r="B645" t="s">
        <v>11</v>
      </c>
      <c r="C645" t="s">
        <v>12</v>
      </c>
      <c r="D645" t="s">
        <v>13</v>
      </c>
      <c r="E645" t="s">
        <v>18</v>
      </c>
      <c r="F645">
        <v>66.349999999999994</v>
      </c>
      <c r="G645">
        <v>1</v>
      </c>
      <c r="H645">
        <v>3.3174999999999999</v>
      </c>
      <c r="I645">
        <f t="shared" si="10"/>
        <v>66.349999999999994</v>
      </c>
      <c r="J645">
        <v>69.66749999999999</v>
      </c>
    </row>
    <row r="646" spans="1:10" x14ac:dyDescent="0.35">
      <c r="A646" t="s">
        <v>25</v>
      </c>
      <c r="B646" t="s">
        <v>11</v>
      </c>
      <c r="C646" t="s">
        <v>12</v>
      </c>
      <c r="D646" t="s">
        <v>13</v>
      </c>
      <c r="E646" t="s">
        <v>19</v>
      </c>
      <c r="F646">
        <v>25.91</v>
      </c>
      <c r="G646">
        <v>6</v>
      </c>
      <c r="H646">
        <v>7.7729999999999997</v>
      </c>
      <c r="I646">
        <f t="shared" si="10"/>
        <v>155.46</v>
      </c>
      <c r="J646">
        <v>163.233</v>
      </c>
    </row>
    <row r="647" spans="1:10" x14ac:dyDescent="0.35">
      <c r="A647" t="s">
        <v>25</v>
      </c>
      <c r="B647" t="s">
        <v>11</v>
      </c>
      <c r="C647" t="s">
        <v>12</v>
      </c>
      <c r="D647" t="s">
        <v>13</v>
      </c>
      <c r="E647" t="s">
        <v>18</v>
      </c>
      <c r="F647">
        <v>32.25</v>
      </c>
      <c r="G647">
        <v>4</v>
      </c>
      <c r="H647">
        <v>6.45</v>
      </c>
      <c r="I647">
        <f t="shared" si="10"/>
        <v>129</v>
      </c>
      <c r="J647">
        <v>135.44999999999999</v>
      </c>
    </row>
    <row r="648" spans="1:10" x14ac:dyDescent="0.35">
      <c r="A648" t="s">
        <v>25</v>
      </c>
      <c r="B648" t="s">
        <v>15</v>
      </c>
      <c r="C648" t="s">
        <v>16</v>
      </c>
      <c r="D648" t="s">
        <v>13</v>
      </c>
      <c r="E648" t="s">
        <v>18</v>
      </c>
      <c r="F648">
        <v>65.94</v>
      </c>
      <c r="G648">
        <v>4</v>
      </c>
      <c r="H648">
        <v>13.188000000000001</v>
      </c>
      <c r="I648">
        <f t="shared" si="10"/>
        <v>263.76</v>
      </c>
      <c r="J648">
        <v>276.94799999999998</v>
      </c>
    </row>
    <row r="649" spans="1:10" x14ac:dyDescent="0.35">
      <c r="A649" t="s">
        <v>25</v>
      </c>
      <c r="B649" t="s">
        <v>20</v>
      </c>
      <c r="C649" t="s">
        <v>21</v>
      </c>
      <c r="D649" t="s">
        <v>17</v>
      </c>
      <c r="E649" t="s">
        <v>24</v>
      </c>
      <c r="F649">
        <v>54.45</v>
      </c>
      <c r="G649">
        <v>1</v>
      </c>
      <c r="H649">
        <v>2.7225000000000001</v>
      </c>
      <c r="I649">
        <f t="shared" si="10"/>
        <v>54.45</v>
      </c>
      <c r="J649">
        <v>57.172499999999999</v>
      </c>
    </row>
    <row r="650" spans="1:10" x14ac:dyDescent="0.35">
      <c r="A650" t="s">
        <v>25</v>
      </c>
      <c r="B650" t="s">
        <v>15</v>
      </c>
      <c r="C650" t="s">
        <v>16</v>
      </c>
      <c r="D650" t="s">
        <v>17</v>
      </c>
      <c r="E650" t="s">
        <v>19</v>
      </c>
      <c r="F650">
        <v>35.47</v>
      </c>
      <c r="G650">
        <v>4</v>
      </c>
      <c r="H650">
        <v>7.0940000000000003</v>
      </c>
      <c r="I650">
        <f t="shared" si="10"/>
        <v>141.88</v>
      </c>
      <c r="J650">
        <v>148.97399999999999</v>
      </c>
    </row>
    <row r="651" spans="1:10" x14ac:dyDescent="0.35">
      <c r="A651" t="s">
        <v>25</v>
      </c>
      <c r="B651" t="s">
        <v>11</v>
      </c>
      <c r="C651" t="s">
        <v>12</v>
      </c>
      <c r="D651" t="s">
        <v>13</v>
      </c>
      <c r="E651" t="s">
        <v>19</v>
      </c>
      <c r="F651">
        <v>70.739999999999995</v>
      </c>
      <c r="G651">
        <v>4</v>
      </c>
      <c r="H651">
        <v>14.148</v>
      </c>
      <c r="I651">
        <f t="shared" si="10"/>
        <v>282.95999999999998</v>
      </c>
      <c r="J651">
        <v>297.108</v>
      </c>
    </row>
    <row r="652" spans="1:10" x14ac:dyDescent="0.35">
      <c r="A652" t="s">
        <v>25</v>
      </c>
      <c r="B652" t="s">
        <v>20</v>
      </c>
      <c r="C652" t="s">
        <v>21</v>
      </c>
      <c r="D652" t="s">
        <v>17</v>
      </c>
      <c r="E652" t="s">
        <v>23</v>
      </c>
      <c r="F652">
        <v>47.97</v>
      </c>
      <c r="G652">
        <v>7</v>
      </c>
      <c r="H652">
        <v>167.89500000000001</v>
      </c>
      <c r="I652">
        <f t="shared" si="10"/>
        <v>335.78999999999996</v>
      </c>
      <c r="J652">
        <v>503.68499999999995</v>
      </c>
    </row>
    <row r="653" spans="1:10" x14ac:dyDescent="0.35">
      <c r="A653" t="s">
        <v>25</v>
      </c>
      <c r="B653" t="s">
        <v>15</v>
      </c>
      <c r="C653" t="s">
        <v>16</v>
      </c>
      <c r="D653" t="s">
        <v>13</v>
      </c>
      <c r="E653" t="s">
        <v>23</v>
      </c>
      <c r="F653">
        <v>70.989999999999995</v>
      </c>
      <c r="G653">
        <v>10</v>
      </c>
      <c r="H653">
        <v>35.494999999999997</v>
      </c>
      <c r="I653">
        <f t="shared" si="10"/>
        <v>709.9</v>
      </c>
      <c r="J653">
        <v>745.39499999999998</v>
      </c>
    </row>
    <row r="654" spans="1:10" x14ac:dyDescent="0.35">
      <c r="A654" t="s">
        <v>25</v>
      </c>
      <c r="B654" t="s">
        <v>11</v>
      </c>
      <c r="C654" t="s">
        <v>12</v>
      </c>
      <c r="D654" t="s">
        <v>13</v>
      </c>
      <c r="E654" t="s">
        <v>24</v>
      </c>
      <c r="F654">
        <v>44.02</v>
      </c>
      <c r="G654">
        <v>10</v>
      </c>
      <c r="H654">
        <v>22.01</v>
      </c>
      <c r="I654">
        <f t="shared" si="10"/>
        <v>440.20000000000005</v>
      </c>
      <c r="J654">
        <v>462.21000000000004</v>
      </c>
    </row>
    <row r="655" spans="1:10" x14ac:dyDescent="0.35">
      <c r="A655" t="s">
        <v>25</v>
      </c>
      <c r="B655" t="s">
        <v>15</v>
      </c>
      <c r="C655" t="s">
        <v>16</v>
      </c>
      <c r="D655" t="s">
        <v>17</v>
      </c>
      <c r="E655" t="s">
        <v>19</v>
      </c>
      <c r="F655">
        <v>37</v>
      </c>
      <c r="G655">
        <v>1</v>
      </c>
      <c r="H655">
        <v>1.85</v>
      </c>
      <c r="I655">
        <f t="shared" si="10"/>
        <v>37</v>
      </c>
      <c r="J655">
        <v>38.85</v>
      </c>
    </row>
    <row r="656" spans="1:10" x14ac:dyDescent="0.35">
      <c r="A656" t="s">
        <v>25</v>
      </c>
      <c r="B656" t="s">
        <v>11</v>
      </c>
      <c r="C656" t="s">
        <v>12</v>
      </c>
      <c r="D656" t="s">
        <v>13</v>
      </c>
      <c r="E656" t="s">
        <v>14</v>
      </c>
      <c r="F656">
        <v>99.83</v>
      </c>
      <c r="G656">
        <v>6</v>
      </c>
      <c r="H656">
        <v>29.949000000000002</v>
      </c>
      <c r="I656">
        <f t="shared" si="10"/>
        <v>598.98</v>
      </c>
      <c r="J656">
        <v>628.92899999999997</v>
      </c>
    </row>
    <row r="657" spans="1:10" x14ac:dyDescent="0.35">
      <c r="A657" t="s">
        <v>25</v>
      </c>
      <c r="B657" t="s">
        <v>20</v>
      </c>
      <c r="C657" t="s">
        <v>21</v>
      </c>
      <c r="D657" t="s">
        <v>17</v>
      </c>
      <c r="E657" t="s">
        <v>14</v>
      </c>
      <c r="F657">
        <v>66.680000000000007</v>
      </c>
      <c r="G657">
        <v>5</v>
      </c>
      <c r="H657">
        <v>16.670000000000002</v>
      </c>
      <c r="I657">
        <f t="shared" si="10"/>
        <v>333.40000000000003</v>
      </c>
      <c r="J657">
        <v>350.07000000000005</v>
      </c>
    </row>
    <row r="658" spans="1:10" x14ac:dyDescent="0.35">
      <c r="A658" t="s">
        <v>25</v>
      </c>
      <c r="B658" t="s">
        <v>15</v>
      </c>
      <c r="C658" t="s">
        <v>16</v>
      </c>
      <c r="D658" t="s">
        <v>13</v>
      </c>
      <c r="E658" t="s">
        <v>19</v>
      </c>
      <c r="F658">
        <v>74.86</v>
      </c>
      <c r="G658">
        <v>1</v>
      </c>
      <c r="H658">
        <v>3.7429999999999999</v>
      </c>
      <c r="I658">
        <f t="shared" si="10"/>
        <v>74.86</v>
      </c>
      <c r="J658">
        <v>78.602999999999994</v>
      </c>
    </row>
    <row r="659" spans="1:10" x14ac:dyDescent="0.35">
      <c r="A659" t="s">
        <v>25</v>
      </c>
      <c r="B659" t="s">
        <v>20</v>
      </c>
      <c r="C659" t="s">
        <v>21</v>
      </c>
      <c r="D659" t="s">
        <v>13</v>
      </c>
      <c r="E659" t="s">
        <v>18</v>
      </c>
      <c r="F659">
        <v>40.299999999999997</v>
      </c>
      <c r="G659">
        <v>10</v>
      </c>
      <c r="H659">
        <v>20.149999999999999</v>
      </c>
      <c r="I659">
        <f t="shared" si="10"/>
        <v>403</v>
      </c>
      <c r="J659">
        <v>423.15</v>
      </c>
    </row>
    <row r="660" spans="1:10" x14ac:dyDescent="0.35">
      <c r="A660" t="s">
        <v>25</v>
      </c>
      <c r="B660" t="s">
        <v>15</v>
      </c>
      <c r="C660" t="s">
        <v>16</v>
      </c>
      <c r="D660" t="s">
        <v>17</v>
      </c>
      <c r="E660" t="s">
        <v>18</v>
      </c>
      <c r="F660">
        <v>27.85</v>
      </c>
      <c r="G660">
        <v>7</v>
      </c>
      <c r="H660">
        <v>9.7475000000000005</v>
      </c>
      <c r="I660">
        <f t="shared" si="10"/>
        <v>194.95000000000002</v>
      </c>
      <c r="J660">
        <v>204.69750000000002</v>
      </c>
    </row>
    <row r="661" spans="1:10" x14ac:dyDescent="0.35">
      <c r="A661" t="s">
        <v>25</v>
      </c>
      <c r="B661" t="s">
        <v>20</v>
      </c>
      <c r="C661" t="s">
        <v>21</v>
      </c>
      <c r="D661" t="s">
        <v>17</v>
      </c>
      <c r="E661" t="s">
        <v>14</v>
      </c>
      <c r="F661">
        <v>18.11</v>
      </c>
      <c r="G661">
        <v>10</v>
      </c>
      <c r="H661">
        <v>9.0549999999999997</v>
      </c>
      <c r="I661">
        <f t="shared" si="10"/>
        <v>181.1</v>
      </c>
      <c r="J661">
        <v>190.155</v>
      </c>
    </row>
    <row r="662" spans="1:10" x14ac:dyDescent="0.35">
      <c r="A662" t="s">
        <v>25</v>
      </c>
      <c r="B662" t="s">
        <v>15</v>
      </c>
      <c r="C662" t="s">
        <v>16</v>
      </c>
      <c r="D662" t="s">
        <v>17</v>
      </c>
      <c r="E662" t="s">
        <v>18</v>
      </c>
      <c r="F662">
        <v>28.84</v>
      </c>
      <c r="G662">
        <v>4</v>
      </c>
      <c r="H662">
        <v>5.7679999999999998</v>
      </c>
      <c r="I662">
        <f t="shared" si="10"/>
        <v>115.36</v>
      </c>
      <c r="J662">
        <v>121.128</v>
      </c>
    </row>
    <row r="663" spans="1:10" x14ac:dyDescent="0.35">
      <c r="A663" t="s">
        <v>25</v>
      </c>
      <c r="B663" t="s">
        <v>11</v>
      </c>
      <c r="C663" t="s">
        <v>12</v>
      </c>
      <c r="D663" t="s">
        <v>13</v>
      </c>
      <c r="E663" t="s">
        <v>19</v>
      </c>
      <c r="F663">
        <v>78.38</v>
      </c>
      <c r="G663">
        <v>6</v>
      </c>
      <c r="H663">
        <v>23.513999999999999</v>
      </c>
      <c r="I663">
        <f t="shared" si="10"/>
        <v>470.28</v>
      </c>
      <c r="J663">
        <v>493.79399999999998</v>
      </c>
    </row>
    <row r="664" spans="1:10" x14ac:dyDescent="0.35">
      <c r="A664" t="s">
        <v>25</v>
      </c>
      <c r="B664" t="s">
        <v>11</v>
      </c>
      <c r="C664" t="s">
        <v>12</v>
      </c>
      <c r="D664" t="s">
        <v>13</v>
      </c>
      <c r="E664" t="s">
        <v>19</v>
      </c>
      <c r="F664">
        <v>60.01</v>
      </c>
      <c r="G664">
        <v>4</v>
      </c>
      <c r="H664">
        <v>12.002000000000001</v>
      </c>
      <c r="I664">
        <f t="shared" si="10"/>
        <v>240.04</v>
      </c>
      <c r="J664">
        <v>252.042</v>
      </c>
    </row>
    <row r="665" spans="1:10" x14ac:dyDescent="0.35">
      <c r="A665" t="s">
        <v>25</v>
      </c>
      <c r="B665" t="s">
        <v>15</v>
      </c>
      <c r="C665" t="s">
        <v>16</v>
      </c>
      <c r="D665" t="s">
        <v>17</v>
      </c>
      <c r="E665" t="s">
        <v>23</v>
      </c>
      <c r="F665">
        <v>99.82</v>
      </c>
      <c r="G665">
        <v>2</v>
      </c>
      <c r="H665">
        <v>9.9819999999999993</v>
      </c>
      <c r="I665">
        <f t="shared" si="10"/>
        <v>199.64</v>
      </c>
      <c r="J665">
        <v>209.62199999999999</v>
      </c>
    </row>
    <row r="666" spans="1:10" x14ac:dyDescent="0.35">
      <c r="A666" t="s">
        <v>25</v>
      </c>
      <c r="B666" t="s">
        <v>20</v>
      </c>
      <c r="C666" t="s">
        <v>21</v>
      </c>
      <c r="D666" t="s">
        <v>13</v>
      </c>
      <c r="E666" t="s">
        <v>14</v>
      </c>
      <c r="F666">
        <v>39.01</v>
      </c>
      <c r="G666">
        <v>1</v>
      </c>
      <c r="H666">
        <v>1.9504999999999999</v>
      </c>
      <c r="I666">
        <f t="shared" si="10"/>
        <v>39.01</v>
      </c>
      <c r="J666">
        <v>40.960499999999996</v>
      </c>
    </row>
    <row r="667" spans="1:10" x14ac:dyDescent="0.35">
      <c r="A667" t="s">
        <v>25</v>
      </c>
      <c r="B667" t="s">
        <v>15</v>
      </c>
      <c r="C667" t="s">
        <v>16</v>
      </c>
      <c r="D667" t="s">
        <v>17</v>
      </c>
      <c r="E667" t="s">
        <v>22</v>
      </c>
      <c r="F667">
        <v>48.61</v>
      </c>
      <c r="G667">
        <v>1</v>
      </c>
      <c r="H667">
        <v>2.4304999999999999</v>
      </c>
      <c r="I667">
        <f t="shared" si="10"/>
        <v>48.61</v>
      </c>
      <c r="J667">
        <v>51.040500000000002</v>
      </c>
    </row>
    <row r="668" spans="1:10" x14ac:dyDescent="0.35">
      <c r="A668" t="s">
        <v>25</v>
      </c>
      <c r="B668" t="s">
        <v>11</v>
      </c>
      <c r="C668" t="s">
        <v>12</v>
      </c>
      <c r="D668" t="s">
        <v>13</v>
      </c>
      <c r="E668" t="s">
        <v>18</v>
      </c>
      <c r="F668">
        <v>72.2</v>
      </c>
      <c r="G668">
        <v>7</v>
      </c>
      <c r="H668">
        <v>25.27</v>
      </c>
      <c r="I668">
        <f t="shared" si="10"/>
        <v>505.40000000000003</v>
      </c>
      <c r="J668">
        <v>530.67000000000007</v>
      </c>
    </row>
    <row r="669" spans="1:10" x14ac:dyDescent="0.35">
      <c r="A669" t="s">
        <v>25</v>
      </c>
      <c r="B669" t="s">
        <v>20</v>
      </c>
      <c r="C669" t="s">
        <v>21</v>
      </c>
      <c r="D669" t="s">
        <v>13</v>
      </c>
      <c r="E669" t="s">
        <v>24</v>
      </c>
      <c r="F669">
        <v>79.930000000000007</v>
      </c>
      <c r="G669">
        <v>6</v>
      </c>
      <c r="H669">
        <v>23.978999999999999</v>
      </c>
      <c r="I669">
        <f t="shared" si="10"/>
        <v>479.58000000000004</v>
      </c>
      <c r="J669">
        <v>503.55900000000003</v>
      </c>
    </row>
    <row r="670" spans="1:10" x14ac:dyDescent="0.35">
      <c r="A670" t="s">
        <v>25</v>
      </c>
      <c r="B670" t="s">
        <v>15</v>
      </c>
      <c r="C670" t="s">
        <v>16</v>
      </c>
      <c r="D670" t="s">
        <v>13</v>
      </c>
      <c r="E670" t="s">
        <v>23</v>
      </c>
      <c r="F670">
        <v>69.33</v>
      </c>
      <c r="G670">
        <v>2</v>
      </c>
      <c r="H670">
        <v>6.9329999999999998</v>
      </c>
      <c r="I670">
        <f t="shared" si="10"/>
        <v>138.66</v>
      </c>
      <c r="J670">
        <v>145.59299999999999</v>
      </c>
    </row>
    <row r="671" spans="1:10" x14ac:dyDescent="0.35">
      <c r="A671" t="s">
        <v>25</v>
      </c>
      <c r="B671" t="s">
        <v>15</v>
      </c>
      <c r="C671" t="s">
        <v>16</v>
      </c>
      <c r="D671" t="s">
        <v>13</v>
      </c>
      <c r="E671" t="s">
        <v>22</v>
      </c>
      <c r="F671">
        <v>99.37</v>
      </c>
      <c r="G671">
        <v>2</v>
      </c>
      <c r="H671">
        <v>9.9369999999999994</v>
      </c>
      <c r="I671">
        <f t="shared" si="10"/>
        <v>198.74</v>
      </c>
      <c r="J671">
        <v>208.67700000000002</v>
      </c>
    </row>
    <row r="672" spans="1:10" x14ac:dyDescent="0.35">
      <c r="A672" t="s">
        <v>25</v>
      </c>
      <c r="B672" t="s">
        <v>15</v>
      </c>
      <c r="C672" t="s">
        <v>16</v>
      </c>
      <c r="D672" t="s">
        <v>13</v>
      </c>
      <c r="E672" t="s">
        <v>18</v>
      </c>
      <c r="F672">
        <v>74.790000000000006</v>
      </c>
      <c r="G672">
        <v>5</v>
      </c>
      <c r="H672">
        <v>186.97499999999999</v>
      </c>
      <c r="I672">
        <f t="shared" si="10"/>
        <v>373.95000000000005</v>
      </c>
      <c r="J672">
        <v>560.92500000000007</v>
      </c>
    </row>
    <row r="673" spans="1:10" x14ac:dyDescent="0.35">
      <c r="A673" t="s">
        <v>25</v>
      </c>
      <c r="B673" t="s">
        <v>15</v>
      </c>
      <c r="C673" t="s">
        <v>16</v>
      </c>
      <c r="D673" t="s">
        <v>13</v>
      </c>
      <c r="E673" t="s">
        <v>14</v>
      </c>
      <c r="F673">
        <v>44.07</v>
      </c>
      <c r="G673">
        <v>4</v>
      </c>
      <c r="H673">
        <v>8.8140000000000001</v>
      </c>
      <c r="I673">
        <f t="shared" si="10"/>
        <v>176.28</v>
      </c>
      <c r="J673">
        <v>185.09399999999999</v>
      </c>
    </row>
    <row r="674" spans="1:10" x14ac:dyDescent="0.35">
      <c r="A674" t="s">
        <v>25</v>
      </c>
      <c r="B674" t="s">
        <v>11</v>
      </c>
      <c r="C674" t="s">
        <v>12</v>
      </c>
      <c r="D674" t="s">
        <v>17</v>
      </c>
      <c r="E674" t="s">
        <v>14</v>
      </c>
      <c r="F674">
        <v>15.26</v>
      </c>
      <c r="G674">
        <v>6</v>
      </c>
      <c r="H674">
        <v>4.5780000000000003</v>
      </c>
      <c r="I674">
        <f t="shared" si="10"/>
        <v>91.56</v>
      </c>
      <c r="J674">
        <v>96.138000000000005</v>
      </c>
    </row>
    <row r="675" spans="1:10" x14ac:dyDescent="0.35">
      <c r="A675" t="s">
        <v>25</v>
      </c>
      <c r="B675" t="s">
        <v>11</v>
      </c>
      <c r="C675" t="s">
        <v>12</v>
      </c>
      <c r="D675" t="s">
        <v>17</v>
      </c>
      <c r="E675" t="s">
        <v>19</v>
      </c>
      <c r="F675">
        <v>21.52</v>
      </c>
      <c r="G675">
        <v>6</v>
      </c>
      <c r="H675">
        <v>6.4560000000000004</v>
      </c>
      <c r="I675">
        <f t="shared" si="10"/>
        <v>129.12</v>
      </c>
      <c r="J675">
        <v>135.57599999999999</v>
      </c>
    </row>
    <row r="676" spans="1:10" x14ac:dyDescent="0.35">
      <c r="A676" t="s">
        <v>25</v>
      </c>
      <c r="B676" t="s">
        <v>20</v>
      </c>
      <c r="C676" t="s">
        <v>21</v>
      </c>
      <c r="D676" t="s">
        <v>17</v>
      </c>
      <c r="E676" t="s">
        <v>24</v>
      </c>
      <c r="F676">
        <v>97.74</v>
      </c>
      <c r="G676">
        <v>4</v>
      </c>
      <c r="H676">
        <v>19.547999999999998</v>
      </c>
      <c r="I676">
        <f t="shared" si="10"/>
        <v>390.96</v>
      </c>
      <c r="J676">
        <v>410.50799999999998</v>
      </c>
    </row>
    <row r="677" spans="1:10" x14ac:dyDescent="0.35">
      <c r="A677" t="s">
        <v>25</v>
      </c>
      <c r="B677" t="s">
        <v>11</v>
      </c>
      <c r="C677" t="s">
        <v>12</v>
      </c>
      <c r="D677" t="s">
        <v>13</v>
      </c>
      <c r="E677" t="s">
        <v>22</v>
      </c>
      <c r="F677">
        <v>99.78</v>
      </c>
      <c r="G677">
        <v>5</v>
      </c>
      <c r="H677">
        <v>24.945</v>
      </c>
      <c r="I677">
        <f t="shared" si="10"/>
        <v>498.9</v>
      </c>
      <c r="J677">
        <v>523.84500000000003</v>
      </c>
    </row>
    <row r="678" spans="1:10" x14ac:dyDescent="0.35">
      <c r="A678" t="s">
        <v>25</v>
      </c>
      <c r="B678" t="s">
        <v>15</v>
      </c>
      <c r="C678" t="s">
        <v>16</v>
      </c>
      <c r="D678" t="s">
        <v>13</v>
      </c>
      <c r="E678" t="s">
        <v>22</v>
      </c>
      <c r="F678">
        <v>94.26</v>
      </c>
      <c r="G678">
        <v>4</v>
      </c>
      <c r="H678">
        <v>18.852</v>
      </c>
      <c r="I678">
        <f t="shared" si="10"/>
        <v>377.04</v>
      </c>
      <c r="J678">
        <v>395.892</v>
      </c>
    </row>
    <row r="679" spans="1:10" x14ac:dyDescent="0.35">
      <c r="A679" t="s">
        <v>25</v>
      </c>
      <c r="B679" t="s">
        <v>20</v>
      </c>
      <c r="C679" t="s">
        <v>21</v>
      </c>
      <c r="D679" t="s">
        <v>13</v>
      </c>
      <c r="E679" t="s">
        <v>14</v>
      </c>
      <c r="F679">
        <v>51.13</v>
      </c>
      <c r="G679">
        <v>4</v>
      </c>
      <c r="H679">
        <v>10.226000000000001</v>
      </c>
      <c r="I679">
        <f t="shared" si="10"/>
        <v>204.52</v>
      </c>
      <c r="J679">
        <v>214.74600000000001</v>
      </c>
    </row>
    <row r="680" spans="1:10" x14ac:dyDescent="0.35">
      <c r="A680" t="s">
        <v>25</v>
      </c>
      <c r="B680" t="s">
        <v>11</v>
      </c>
      <c r="C680" t="s">
        <v>12</v>
      </c>
      <c r="D680" t="s">
        <v>13</v>
      </c>
      <c r="E680" t="s">
        <v>18</v>
      </c>
      <c r="F680">
        <v>36.36</v>
      </c>
      <c r="G680">
        <v>4</v>
      </c>
      <c r="H680">
        <v>7.2720000000000002</v>
      </c>
      <c r="I680">
        <f t="shared" si="10"/>
        <v>145.44</v>
      </c>
      <c r="J680">
        <v>152.71199999999999</v>
      </c>
    </row>
    <row r="681" spans="1:10" x14ac:dyDescent="0.35">
      <c r="A681" t="s">
        <v>25</v>
      </c>
      <c r="B681" t="s">
        <v>20</v>
      </c>
      <c r="C681" t="s">
        <v>21</v>
      </c>
      <c r="D681" t="s">
        <v>17</v>
      </c>
      <c r="E681" t="s">
        <v>19</v>
      </c>
      <c r="F681">
        <v>22.02</v>
      </c>
      <c r="G681">
        <v>9</v>
      </c>
      <c r="H681">
        <v>9.9090000000000007</v>
      </c>
      <c r="I681">
        <f t="shared" si="10"/>
        <v>198.18</v>
      </c>
      <c r="J681">
        <v>208.089</v>
      </c>
    </row>
    <row r="682" spans="1:10" x14ac:dyDescent="0.35">
      <c r="A682" t="s">
        <v>25</v>
      </c>
      <c r="B682" t="s">
        <v>11</v>
      </c>
      <c r="C682" t="s">
        <v>12</v>
      </c>
      <c r="D682" t="s">
        <v>17</v>
      </c>
      <c r="E682" t="s">
        <v>22</v>
      </c>
      <c r="F682">
        <v>32.9</v>
      </c>
      <c r="G682">
        <v>3</v>
      </c>
      <c r="H682">
        <v>4.9349999999999996</v>
      </c>
      <c r="I682">
        <f t="shared" si="10"/>
        <v>98.699999999999989</v>
      </c>
      <c r="J682">
        <v>103.63499999999999</v>
      </c>
    </row>
    <row r="683" spans="1:10" x14ac:dyDescent="0.35">
      <c r="A683" t="s">
        <v>25</v>
      </c>
      <c r="B683" t="s">
        <v>11</v>
      </c>
      <c r="C683" t="s">
        <v>12</v>
      </c>
      <c r="D683" t="s">
        <v>17</v>
      </c>
      <c r="E683" t="s">
        <v>23</v>
      </c>
      <c r="F683">
        <v>77.02</v>
      </c>
      <c r="G683">
        <v>5</v>
      </c>
      <c r="H683">
        <v>19.254999999999999</v>
      </c>
      <c r="I683">
        <f t="shared" si="10"/>
        <v>385.09999999999997</v>
      </c>
      <c r="J683">
        <v>404.35499999999996</v>
      </c>
    </row>
    <row r="684" spans="1:10" x14ac:dyDescent="0.35">
      <c r="A684" t="s">
        <v>25</v>
      </c>
      <c r="B684" t="s">
        <v>11</v>
      </c>
      <c r="C684" t="s">
        <v>12</v>
      </c>
      <c r="D684" t="s">
        <v>13</v>
      </c>
      <c r="E684" t="s">
        <v>22</v>
      </c>
      <c r="F684">
        <v>23.48</v>
      </c>
      <c r="G684">
        <v>2</v>
      </c>
      <c r="H684">
        <v>2.3479999999999999</v>
      </c>
      <c r="I684">
        <f t="shared" si="10"/>
        <v>46.96</v>
      </c>
      <c r="J684">
        <v>49.308</v>
      </c>
    </row>
    <row r="685" spans="1:10" x14ac:dyDescent="0.35">
      <c r="A685" t="s">
        <v>25</v>
      </c>
      <c r="B685" t="s">
        <v>15</v>
      </c>
      <c r="C685" t="s">
        <v>16</v>
      </c>
      <c r="D685" t="s">
        <v>13</v>
      </c>
      <c r="E685" t="s">
        <v>24</v>
      </c>
      <c r="F685">
        <v>14.7</v>
      </c>
      <c r="G685">
        <v>5</v>
      </c>
      <c r="H685">
        <v>3.6749999999999998</v>
      </c>
      <c r="I685">
        <f t="shared" si="10"/>
        <v>73.5</v>
      </c>
      <c r="J685">
        <v>77.174999999999997</v>
      </c>
    </row>
    <row r="686" spans="1:10" x14ac:dyDescent="0.35">
      <c r="A686" t="s">
        <v>25</v>
      </c>
      <c r="B686" t="s">
        <v>11</v>
      </c>
      <c r="C686" t="s">
        <v>12</v>
      </c>
      <c r="D686" t="s">
        <v>17</v>
      </c>
      <c r="E686" t="s">
        <v>23</v>
      </c>
      <c r="F686">
        <v>76.400000000000006</v>
      </c>
      <c r="G686">
        <v>9</v>
      </c>
      <c r="H686">
        <v>34.380000000000003</v>
      </c>
      <c r="I686">
        <f t="shared" si="10"/>
        <v>687.6</v>
      </c>
      <c r="J686">
        <v>721.98</v>
      </c>
    </row>
    <row r="687" spans="1:10" x14ac:dyDescent="0.35">
      <c r="A687" t="s">
        <v>25</v>
      </c>
      <c r="B687" t="s">
        <v>20</v>
      </c>
      <c r="C687" t="s">
        <v>21</v>
      </c>
      <c r="D687" t="s">
        <v>13</v>
      </c>
      <c r="E687" t="s">
        <v>18</v>
      </c>
      <c r="F687">
        <v>48.09</v>
      </c>
      <c r="G687">
        <v>3</v>
      </c>
      <c r="H687">
        <v>7.2134999999999998</v>
      </c>
      <c r="I687">
        <f t="shared" si="10"/>
        <v>144.27000000000001</v>
      </c>
      <c r="J687">
        <v>151.48350000000002</v>
      </c>
    </row>
    <row r="688" spans="1:10" x14ac:dyDescent="0.35">
      <c r="A688" t="s">
        <v>25</v>
      </c>
      <c r="B688" t="s">
        <v>11</v>
      </c>
      <c r="C688" t="s">
        <v>12</v>
      </c>
      <c r="D688" t="s">
        <v>17</v>
      </c>
      <c r="E688" t="s">
        <v>24</v>
      </c>
      <c r="F688">
        <v>44.65</v>
      </c>
      <c r="G688">
        <v>3</v>
      </c>
      <c r="H688">
        <v>6.6974999999999998</v>
      </c>
      <c r="I688">
        <f t="shared" si="10"/>
        <v>133.94999999999999</v>
      </c>
      <c r="J688">
        <v>140.64749999999998</v>
      </c>
    </row>
    <row r="689" spans="1:10" x14ac:dyDescent="0.35">
      <c r="A689" t="s">
        <v>25</v>
      </c>
      <c r="B689" t="s">
        <v>11</v>
      </c>
      <c r="C689" t="s">
        <v>12</v>
      </c>
      <c r="D689" t="s">
        <v>13</v>
      </c>
      <c r="E689" t="s">
        <v>18</v>
      </c>
      <c r="F689">
        <v>71.95</v>
      </c>
      <c r="G689">
        <v>1</v>
      </c>
      <c r="H689">
        <v>3.5975000000000001</v>
      </c>
      <c r="I689">
        <f t="shared" si="10"/>
        <v>71.95</v>
      </c>
      <c r="J689">
        <v>75.547499999999999</v>
      </c>
    </row>
    <row r="690" spans="1:10" x14ac:dyDescent="0.35">
      <c r="A690" t="s">
        <v>25</v>
      </c>
      <c r="B690" t="s">
        <v>11</v>
      </c>
      <c r="C690" t="s">
        <v>12</v>
      </c>
      <c r="D690" t="s">
        <v>17</v>
      </c>
      <c r="E690" t="s">
        <v>18</v>
      </c>
      <c r="F690">
        <v>26.02</v>
      </c>
      <c r="G690">
        <v>7</v>
      </c>
      <c r="H690">
        <v>9.1069999999999993</v>
      </c>
      <c r="I690">
        <f t="shared" si="10"/>
        <v>182.14</v>
      </c>
      <c r="J690">
        <v>191.24699999999999</v>
      </c>
    </row>
    <row r="691" spans="1:10" x14ac:dyDescent="0.35">
      <c r="A691" t="s">
        <v>25</v>
      </c>
      <c r="B691" t="s">
        <v>11</v>
      </c>
      <c r="C691" t="s">
        <v>12</v>
      </c>
      <c r="D691" t="s">
        <v>17</v>
      </c>
      <c r="E691" t="s">
        <v>18</v>
      </c>
      <c r="F691">
        <v>51.69</v>
      </c>
      <c r="G691">
        <v>7</v>
      </c>
      <c r="H691">
        <v>180.91499999999999</v>
      </c>
      <c r="I691">
        <f t="shared" si="10"/>
        <v>361.83</v>
      </c>
      <c r="J691">
        <v>542.745</v>
      </c>
    </row>
    <row r="692" spans="1:10" x14ac:dyDescent="0.35">
      <c r="A692" t="s">
        <v>25</v>
      </c>
      <c r="B692" t="s">
        <v>20</v>
      </c>
      <c r="C692" t="s">
        <v>21</v>
      </c>
      <c r="D692" t="s">
        <v>13</v>
      </c>
      <c r="E692" t="s">
        <v>19</v>
      </c>
      <c r="F692">
        <v>27</v>
      </c>
      <c r="G692">
        <v>9</v>
      </c>
      <c r="H692">
        <v>12.15</v>
      </c>
      <c r="I692">
        <f t="shared" si="10"/>
        <v>243</v>
      </c>
      <c r="J692">
        <v>255.15</v>
      </c>
    </row>
    <row r="693" spans="1:10" x14ac:dyDescent="0.35">
      <c r="A693" t="s">
        <v>25</v>
      </c>
      <c r="B693" t="s">
        <v>20</v>
      </c>
      <c r="C693" t="s">
        <v>21</v>
      </c>
      <c r="D693" t="s">
        <v>17</v>
      </c>
      <c r="E693" t="s">
        <v>18</v>
      </c>
      <c r="F693">
        <v>27.5</v>
      </c>
      <c r="G693">
        <v>3</v>
      </c>
      <c r="H693">
        <v>4.125</v>
      </c>
      <c r="I693">
        <f t="shared" si="10"/>
        <v>82.5</v>
      </c>
      <c r="J693">
        <v>86.625</v>
      </c>
    </row>
    <row r="694" spans="1:10" x14ac:dyDescent="0.35">
      <c r="A694" t="s">
        <v>25</v>
      </c>
      <c r="B694" t="s">
        <v>20</v>
      </c>
      <c r="C694" t="s">
        <v>21</v>
      </c>
      <c r="D694" t="s">
        <v>17</v>
      </c>
      <c r="E694" t="s">
        <v>24</v>
      </c>
      <c r="F694">
        <v>74.97</v>
      </c>
      <c r="G694">
        <v>1</v>
      </c>
      <c r="H694">
        <v>3.7484999999999999</v>
      </c>
      <c r="I694">
        <f t="shared" si="10"/>
        <v>74.97</v>
      </c>
      <c r="J694">
        <v>78.718500000000006</v>
      </c>
    </row>
    <row r="695" spans="1:10" x14ac:dyDescent="0.35">
      <c r="A695" t="s">
        <v>25</v>
      </c>
      <c r="B695" t="s">
        <v>11</v>
      </c>
      <c r="C695" t="s">
        <v>12</v>
      </c>
      <c r="D695" t="s">
        <v>13</v>
      </c>
      <c r="E695" t="s">
        <v>22</v>
      </c>
      <c r="F695">
        <v>80.959999999999994</v>
      </c>
      <c r="G695">
        <v>8</v>
      </c>
      <c r="H695">
        <v>32.384</v>
      </c>
      <c r="I695">
        <f t="shared" si="10"/>
        <v>647.67999999999995</v>
      </c>
      <c r="J695">
        <v>680.06399999999996</v>
      </c>
    </row>
    <row r="696" spans="1:10" x14ac:dyDescent="0.35">
      <c r="A696" t="s">
        <v>25</v>
      </c>
      <c r="B696" t="s">
        <v>15</v>
      </c>
      <c r="C696" t="s">
        <v>16</v>
      </c>
      <c r="D696" t="s">
        <v>17</v>
      </c>
      <c r="E696" t="s">
        <v>22</v>
      </c>
      <c r="F696">
        <v>99.79</v>
      </c>
      <c r="G696">
        <v>2</v>
      </c>
      <c r="H696">
        <v>9.9789999999999992</v>
      </c>
      <c r="I696">
        <f t="shared" si="10"/>
        <v>199.58</v>
      </c>
      <c r="J696">
        <v>209.55900000000003</v>
      </c>
    </row>
    <row r="697" spans="1:10" x14ac:dyDescent="0.35">
      <c r="A697" t="s">
        <v>25</v>
      </c>
      <c r="B697" t="s">
        <v>11</v>
      </c>
      <c r="C697" t="s">
        <v>12</v>
      </c>
      <c r="D697" t="s">
        <v>17</v>
      </c>
      <c r="E697" t="s">
        <v>19</v>
      </c>
      <c r="F697">
        <v>73.22</v>
      </c>
      <c r="G697">
        <v>6</v>
      </c>
      <c r="H697">
        <v>21.966000000000001</v>
      </c>
      <c r="I697">
        <f t="shared" si="10"/>
        <v>439.32</v>
      </c>
      <c r="J697">
        <v>461.286</v>
      </c>
    </row>
    <row r="698" spans="1:10" x14ac:dyDescent="0.35">
      <c r="A698" t="s">
        <v>25</v>
      </c>
      <c r="B698" t="s">
        <v>11</v>
      </c>
      <c r="C698" t="s">
        <v>12</v>
      </c>
      <c r="D698" t="s">
        <v>13</v>
      </c>
      <c r="E698" t="s">
        <v>19</v>
      </c>
      <c r="F698">
        <v>65.94</v>
      </c>
      <c r="G698">
        <v>4</v>
      </c>
      <c r="H698">
        <v>13.188000000000001</v>
      </c>
      <c r="I698">
        <f t="shared" si="10"/>
        <v>263.76</v>
      </c>
      <c r="J698">
        <v>276.94799999999998</v>
      </c>
    </row>
    <row r="699" spans="1:10" x14ac:dyDescent="0.35">
      <c r="A699" t="s">
        <v>25</v>
      </c>
      <c r="B699" t="s">
        <v>11</v>
      </c>
      <c r="C699" t="s">
        <v>12</v>
      </c>
      <c r="D699" t="s">
        <v>13</v>
      </c>
      <c r="E699" t="s">
        <v>18</v>
      </c>
      <c r="F699">
        <v>21.5</v>
      </c>
      <c r="G699">
        <v>9</v>
      </c>
      <c r="H699">
        <v>9.6750000000000007</v>
      </c>
      <c r="I699">
        <f t="shared" si="10"/>
        <v>193.5</v>
      </c>
      <c r="J699">
        <v>203.17500000000001</v>
      </c>
    </row>
    <row r="700" spans="1:10" x14ac:dyDescent="0.35">
      <c r="A700" t="s">
        <v>25</v>
      </c>
      <c r="B700" t="s">
        <v>15</v>
      </c>
      <c r="C700" t="s">
        <v>16</v>
      </c>
      <c r="D700" t="s">
        <v>17</v>
      </c>
      <c r="E700" t="s">
        <v>23</v>
      </c>
      <c r="F700">
        <v>42.08</v>
      </c>
      <c r="G700">
        <v>6</v>
      </c>
      <c r="H700">
        <v>12.624000000000001</v>
      </c>
      <c r="I700">
        <f t="shared" si="10"/>
        <v>252.48</v>
      </c>
      <c r="J700">
        <v>265.10399999999998</v>
      </c>
    </row>
    <row r="701" spans="1:10" x14ac:dyDescent="0.35">
      <c r="A701" t="s">
        <v>25</v>
      </c>
      <c r="B701" t="s">
        <v>15</v>
      </c>
      <c r="C701" t="s">
        <v>16</v>
      </c>
      <c r="D701" t="s">
        <v>17</v>
      </c>
      <c r="E701" t="s">
        <v>24</v>
      </c>
      <c r="F701">
        <v>95.49</v>
      </c>
      <c r="G701">
        <v>7</v>
      </c>
      <c r="H701">
        <v>334.21499999999997</v>
      </c>
      <c r="I701">
        <f t="shared" si="10"/>
        <v>668.43</v>
      </c>
      <c r="J701">
        <v>1002.645</v>
      </c>
    </row>
    <row r="702" spans="1:10" x14ac:dyDescent="0.35">
      <c r="A702" t="s">
        <v>25</v>
      </c>
      <c r="B702" t="s">
        <v>15</v>
      </c>
      <c r="C702" t="s">
        <v>16</v>
      </c>
      <c r="D702" t="s">
        <v>13</v>
      </c>
      <c r="E702" t="s">
        <v>23</v>
      </c>
      <c r="F702">
        <v>96.98</v>
      </c>
      <c r="G702">
        <v>4</v>
      </c>
      <c r="H702">
        <v>19.396000000000001</v>
      </c>
      <c r="I702">
        <f t="shared" si="10"/>
        <v>387.92</v>
      </c>
      <c r="J702">
        <v>407.31600000000003</v>
      </c>
    </row>
    <row r="703" spans="1:10" x14ac:dyDescent="0.35">
      <c r="A703" t="s">
        <v>25</v>
      </c>
      <c r="B703" t="s">
        <v>11</v>
      </c>
      <c r="C703" t="s">
        <v>12</v>
      </c>
      <c r="D703" t="s">
        <v>13</v>
      </c>
      <c r="E703" t="s">
        <v>24</v>
      </c>
      <c r="F703">
        <v>82.33</v>
      </c>
      <c r="G703">
        <v>4</v>
      </c>
      <c r="H703">
        <v>16.466000000000001</v>
      </c>
      <c r="I703">
        <f t="shared" si="10"/>
        <v>329.32</v>
      </c>
      <c r="J703">
        <v>345.786</v>
      </c>
    </row>
    <row r="704" spans="1:10" x14ac:dyDescent="0.35">
      <c r="A704" t="s">
        <v>25</v>
      </c>
      <c r="B704" t="s">
        <v>20</v>
      </c>
      <c r="C704" t="s">
        <v>21</v>
      </c>
      <c r="D704" t="s">
        <v>13</v>
      </c>
      <c r="E704" t="s">
        <v>24</v>
      </c>
      <c r="F704">
        <v>75.819999999999993</v>
      </c>
      <c r="G704">
        <v>1</v>
      </c>
      <c r="H704">
        <v>3.7909999999999999</v>
      </c>
      <c r="I704">
        <f t="shared" si="10"/>
        <v>75.819999999999993</v>
      </c>
      <c r="J704">
        <v>79.61099999999999</v>
      </c>
    </row>
    <row r="705" spans="1:10" x14ac:dyDescent="0.35">
      <c r="A705" t="s">
        <v>25</v>
      </c>
      <c r="B705" t="s">
        <v>15</v>
      </c>
      <c r="C705" t="s">
        <v>16</v>
      </c>
      <c r="D705" t="s">
        <v>17</v>
      </c>
      <c r="E705" t="s">
        <v>22</v>
      </c>
      <c r="F705">
        <v>46.77</v>
      </c>
      <c r="G705">
        <v>6</v>
      </c>
      <c r="H705">
        <v>14.031000000000001</v>
      </c>
      <c r="I705">
        <f t="shared" si="10"/>
        <v>280.62</v>
      </c>
      <c r="J705">
        <v>294.65100000000001</v>
      </c>
    </row>
    <row r="706" spans="1:10" x14ac:dyDescent="0.35">
      <c r="A706" t="s">
        <v>25</v>
      </c>
      <c r="B706" t="s">
        <v>20</v>
      </c>
      <c r="C706" t="s">
        <v>21</v>
      </c>
      <c r="D706" t="s">
        <v>17</v>
      </c>
      <c r="E706" t="s">
        <v>22</v>
      </c>
      <c r="F706">
        <v>18.22</v>
      </c>
      <c r="G706">
        <v>7</v>
      </c>
      <c r="H706">
        <v>6.3769999999999998</v>
      </c>
      <c r="I706">
        <f t="shared" si="10"/>
        <v>127.53999999999999</v>
      </c>
      <c r="J706">
        <v>133.917</v>
      </c>
    </row>
    <row r="707" spans="1:10" x14ac:dyDescent="0.35">
      <c r="A707" t="s">
        <v>25</v>
      </c>
      <c r="B707" t="s">
        <v>11</v>
      </c>
      <c r="C707" t="s">
        <v>12</v>
      </c>
      <c r="D707" t="s">
        <v>13</v>
      </c>
      <c r="E707" t="s">
        <v>18</v>
      </c>
      <c r="F707">
        <v>76.819999999999993</v>
      </c>
      <c r="G707">
        <v>1</v>
      </c>
      <c r="H707">
        <v>3.8410000000000002</v>
      </c>
      <c r="I707">
        <f t="shared" ref="I707:I770" si="11">F707*G707</f>
        <v>76.819999999999993</v>
      </c>
      <c r="J707">
        <v>80.660999999999987</v>
      </c>
    </row>
    <row r="708" spans="1:10" x14ac:dyDescent="0.35">
      <c r="A708" t="s">
        <v>25</v>
      </c>
      <c r="B708" t="s">
        <v>20</v>
      </c>
      <c r="C708" t="s">
        <v>21</v>
      </c>
      <c r="D708" t="s">
        <v>17</v>
      </c>
      <c r="E708" t="s">
        <v>19</v>
      </c>
      <c r="F708">
        <v>13.59</v>
      </c>
      <c r="G708">
        <v>9</v>
      </c>
      <c r="H708">
        <v>6.1154999999999999</v>
      </c>
      <c r="I708">
        <f t="shared" si="11"/>
        <v>122.31</v>
      </c>
      <c r="J708">
        <v>128.4255</v>
      </c>
    </row>
    <row r="709" spans="1:10" x14ac:dyDescent="0.35">
      <c r="A709" t="s">
        <v>25</v>
      </c>
      <c r="B709" t="s">
        <v>20</v>
      </c>
      <c r="C709" t="s">
        <v>21</v>
      </c>
      <c r="D709" t="s">
        <v>13</v>
      </c>
      <c r="E709" t="s">
        <v>18</v>
      </c>
      <c r="F709">
        <v>19.239999999999998</v>
      </c>
      <c r="G709">
        <v>9</v>
      </c>
      <c r="H709">
        <v>8.6579999999999995</v>
      </c>
      <c r="I709">
        <f t="shared" si="11"/>
        <v>173.16</v>
      </c>
      <c r="J709">
        <v>181.81799999999998</v>
      </c>
    </row>
    <row r="710" spans="1:10" x14ac:dyDescent="0.35">
      <c r="A710" t="s">
        <v>25</v>
      </c>
      <c r="B710" t="s">
        <v>15</v>
      </c>
      <c r="C710" t="s">
        <v>16</v>
      </c>
      <c r="D710" t="s">
        <v>17</v>
      </c>
      <c r="E710" t="s">
        <v>19</v>
      </c>
      <c r="F710">
        <v>46.22</v>
      </c>
      <c r="G710">
        <v>4</v>
      </c>
      <c r="H710">
        <v>9.2439999999999998</v>
      </c>
      <c r="I710">
        <f t="shared" si="11"/>
        <v>184.88</v>
      </c>
      <c r="J710">
        <v>194.124</v>
      </c>
    </row>
    <row r="711" spans="1:10" x14ac:dyDescent="0.35">
      <c r="A711" t="s">
        <v>25</v>
      </c>
      <c r="B711" t="s">
        <v>15</v>
      </c>
      <c r="C711" t="s">
        <v>16</v>
      </c>
      <c r="D711" t="s">
        <v>13</v>
      </c>
      <c r="E711" t="s">
        <v>19</v>
      </c>
      <c r="F711">
        <v>13.98</v>
      </c>
      <c r="G711">
        <v>1</v>
      </c>
      <c r="H711">
        <v>699</v>
      </c>
      <c r="I711">
        <f t="shared" si="11"/>
        <v>13.98</v>
      </c>
      <c r="J711">
        <v>712.98</v>
      </c>
    </row>
    <row r="712" spans="1:10" x14ac:dyDescent="0.35">
      <c r="A712" t="s">
        <v>25</v>
      </c>
      <c r="B712" t="s">
        <v>11</v>
      </c>
      <c r="C712" t="s">
        <v>12</v>
      </c>
      <c r="D712" t="s">
        <v>13</v>
      </c>
      <c r="E712" t="s">
        <v>24</v>
      </c>
      <c r="F712">
        <v>67.260000000000005</v>
      </c>
      <c r="G712">
        <v>4</v>
      </c>
      <c r="H712">
        <v>13.452</v>
      </c>
      <c r="I712">
        <f t="shared" si="11"/>
        <v>269.04000000000002</v>
      </c>
      <c r="J712">
        <v>282.49200000000002</v>
      </c>
    </row>
    <row r="713" spans="1:10" x14ac:dyDescent="0.35">
      <c r="A713" t="s">
        <v>25</v>
      </c>
      <c r="B713" t="s">
        <v>11</v>
      </c>
      <c r="C713" t="s">
        <v>12</v>
      </c>
      <c r="D713" t="s">
        <v>17</v>
      </c>
      <c r="E713" t="s">
        <v>22</v>
      </c>
      <c r="F713">
        <v>13.79</v>
      </c>
      <c r="G713">
        <v>5</v>
      </c>
      <c r="H713">
        <v>3.4474999999999998</v>
      </c>
      <c r="I713">
        <f t="shared" si="11"/>
        <v>68.949999999999989</v>
      </c>
      <c r="J713">
        <v>72.397499999999994</v>
      </c>
    </row>
    <row r="714" spans="1:10" x14ac:dyDescent="0.35">
      <c r="A714" t="s">
        <v>25</v>
      </c>
      <c r="B714" t="s">
        <v>20</v>
      </c>
      <c r="C714" t="s">
        <v>21</v>
      </c>
      <c r="D714" t="s">
        <v>17</v>
      </c>
      <c r="E714" t="s">
        <v>24</v>
      </c>
      <c r="F714">
        <v>21.87</v>
      </c>
      <c r="G714">
        <v>2</v>
      </c>
      <c r="H714">
        <v>2.1869999999999998</v>
      </c>
      <c r="I714">
        <f t="shared" si="11"/>
        <v>43.74</v>
      </c>
      <c r="J714">
        <v>45.927</v>
      </c>
    </row>
    <row r="715" spans="1:10" x14ac:dyDescent="0.35">
      <c r="A715" t="s">
        <v>25</v>
      </c>
      <c r="B715" t="s">
        <v>11</v>
      </c>
      <c r="C715" t="s">
        <v>12</v>
      </c>
      <c r="D715" t="s">
        <v>13</v>
      </c>
      <c r="E715" t="s">
        <v>14</v>
      </c>
      <c r="F715">
        <v>20.97</v>
      </c>
      <c r="G715">
        <v>5</v>
      </c>
      <c r="H715">
        <v>5.2424999999999997</v>
      </c>
      <c r="I715">
        <f t="shared" si="11"/>
        <v>104.85</v>
      </c>
      <c r="J715">
        <v>110.0925</v>
      </c>
    </row>
    <row r="716" spans="1:10" x14ac:dyDescent="0.35">
      <c r="A716" t="s">
        <v>25</v>
      </c>
      <c r="B716" t="s">
        <v>11</v>
      </c>
      <c r="C716" t="s">
        <v>12</v>
      </c>
      <c r="D716" t="s">
        <v>17</v>
      </c>
      <c r="E716" t="s">
        <v>24</v>
      </c>
      <c r="F716">
        <v>25.84</v>
      </c>
      <c r="G716">
        <v>3</v>
      </c>
      <c r="H716">
        <v>3.8759999999999999</v>
      </c>
      <c r="I716">
        <f t="shared" si="11"/>
        <v>77.52</v>
      </c>
      <c r="J716">
        <v>81.396000000000001</v>
      </c>
    </row>
    <row r="717" spans="1:10" x14ac:dyDescent="0.35">
      <c r="A717" t="s">
        <v>25</v>
      </c>
      <c r="B717" t="s">
        <v>11</v>
      </c>
      <c r="C717" t="s">
        <v>12</v>
      </c>
      <c r="D717" t="s">
        <v>17</v>
      </c>
      <c r="E717" t="s">
        <v>19</v>
      </c>
      <c r="F717">
        <v>50.93</v>
      </c>
      <c r="G717">
        <v>8</v>
      </c>
      <c r="H717">
        <v>20.372</v>
      </c>
      <c r="I717">
        <f t="shared" si="11"/>
        <v>407.44</v>
      </c>
      <c r="J717">
        <v>427.81200000000001</v>
      </c>
    </row>
    <row r="718" spans="1:10" x14ac:dyDescent="0.35">
      <c r="A718" t="s">
        <v>25</v>
      </c>
      <c r="B718" t="s">
        <v>20</v>
      </c>
      <c r="C718" t="s">
        <v>21</v>
      </c>
      <c r="D718" t="s">
        <v>17</v>
      </c>
      <c r="E718" t="s">
        <v>14</v>
      </c>
      <c r="F718">
        <v>96.11</v>
      </c>
      <c r="G718">
        <v>1</v>
      </c>
      <c r="H718">
        <v>4.8055000000000003</v>
      </c>
      <c r="I718">
        <f t="shared" si="11"/>
        <v>96.11</v>
      </c>
      <c r="J718">
        <v>100.91549999999999</v>
      </c>
    </row>
    <row r="719" spans="1:10" x14ac:dyDescent="0.35">
      <c r="A719" t="s">
        <v>25</v>
      </c>
      <c r="B719" t="s">
        <v>20</v>
      </c>
      <c r="C719" t="s">
        <v>21</v>
      </c>
      <c r="D719" t="s">
        <v>13</v>
      </c>
      <c r="E719" t="s">
        <v>23</v>
      </c>
      <c r="F719">
        <v>25.42</v>
      </c>
      <c r="G719">
        <v>8</v>
      </c>
      <c r="H719">
        <v>10.167999999999999</v>
      </c>
      <c r="I719">
        <f t="shared" si="11"/>
        <v>203.36</v>
      </c>
      <c r="J719">
        <v>213.52800000000002</v>
      </c>
    </row>
    <row r="720" spans="1:10" x14ac:dyDescent="0.35">
      <c r="A720" t="s">
        <v>25</v>
      </c>
      <c r="B720" t="s">
        <v>15</v>
      </c>
      <c r="C720" t="s">
        <v>16</v>
      </c>
      <c r="D720" t="s">
        <v>17</v>
      </c>
      <c r="E720" t="s">
        <v>23</v>
      </c>
      <c r="F720">
        <v>16.28</v>
      </c>
      <c r="G720">
        <v>1</v>
      </c>
      <c r="H720">
        <v>814</v>
      </c>
      <c r="I720">
        <f t="shared" si="11"/>
        <v>16.28</v>
      </c>
      <c r="J720">
        <v>830.28</v>
      </c>
    </row>
    <row r="721" spans="1:10" x14ac:dyDescent="0.35">
      <c r="A721" t="s">
        <v>25</v>
      </c>
      <c r="B721" t="s">
        <v>20</v>
      </c>
      <c r="C721" t="s">
        <v>21</v>
      </c>
      <c r="D721" t="s">
        <v>13</v>
      </c>
      <c r="E721" t="s">
        <v>23</v>
      </c>
      <c r="F721">
        <v>40.61</v>
      </c>
      <c r="G721">
        <v>9</v>
      </c>
      <c r="H721">
        <v>182.745</v>
      </c>
      <c r="I721">
        <f t="shared" si="11"/>
        <v>365.49</v>
      </c>
      <c r="J721">
        <v>548.23500000000001</v>
      </c>
    </row>
    <row r="722" spans="1:10" x14ac:dyDescent="0.35">
      <c r="A722" t="s">
        <v>25</v>
      </c>
      <c r="B722" t="s">
        <v>11</v>
      </c>
      <c r="C722" t="s">
        <v>12</v>
      </c>
      <c r="D722" t="s">
        <v>13</v>
      </c>
      <c r="E722" t="s">
        <v>14</v>
      </c>
      <c r="F722">
        <v>53.17</v>
      </c>
      <c r="G722">
        <v>7</v>
      </c>
      <c r="H722">
        <v>186.095</v>
      </c>
      <c r="I722">
        <f t="shared" si="11"/>
        <v>372.19</v>
      </c>
      <c r="J722">
        <v>558.28499999999997</v>
      </c>
    </row>
    <row r="723" spans="1:10" x14ac:dyDescent="0.35">
      <c r="A723" t="s">
        <v>25</v>
      </c>
      <c r="B723" t="s">
        <v>20</v>
      </c>
      <c r="C723" t="s">
        <v>21</v>
      </c>
      <c r="D723" t="s">
        <v>17</v>
      </c>
      <c r="E723" t="s">
        <v>24</v>
      </c>
      <c r="F723">
        <v>67.27</v>
      </c>
      <c r="G723">
        <v>5</v>
      </c>
      <c r="H723">
        <v>168.17500000000001</v>
      </c>
      <c r="I723">
        <f t="shared" si="11"/>
        <v>336.34999999999997</v>
      </c>
      <c r="J723">
        <v>504.52499999999998</v>
      </c>
    </row>
    <row r="724" spans="1:10" x14ac:dyDescent="0.35">
      <c r="A724" t="s">
        <v>25</v>
      </c>
      <c r="B724" t="s">
        <v>20</v>
      </c>
      <c r="C724" t="s">
        <v>21</v>
      </c>
      <c r="D724" t="s">
        <v>17</v>
      </c>
      <c r="E724" t="s">
        <v>23</v>
      </c>
      <c r="F724">
        <v>69.08</v>
      </c>
      <c r="G724">
        <v>2</v>
      </c>
      <c r="H724">
        <v>6.9080000000000004</v>
      </c>
      <c r="I724">
        <f t="shared" si="11"/>
        <v>138.16</v>
      </c>
      <c r="J724">
        <v>145.06799999999998</v>
      </c>
    </row>
    <row r="725" spans="1:10" x14ac:dyDescent="0.35">
      <c r="A725" t="s">
        <v>25</v>
      </c>
      <c r="B725" t="s">
        <v>15</v>
      </c>
      <c r="C725" t="s">
        <v>16</v>
      </c>
      <c r="D725" t="s">
        <v>17</v>
      </c>
      <c r="E725" t="s">
        <v>22</v>
      </c>
      <c r="F725">
        <v>43.27</v>
      </c>
      <c r="G725">
        <v>2</v>
      </c>
      <c r="H725">
        <v>4.327</v>
      </c>
      <c r="I725">
        <f t="shared" si="11"/>
        <v>86.54</v>
      </c>
      <c r="J725">
        <v>90.867000000000004</v>
      </c>
    </row>
    <row r="726" spans="1:10" x14ac:dyDescent="0.35">
      <c r="A726" t="s">
        <v>25</v>
      </c>
      <c r="B726" t="s">
        <v>20</v>
      </c>
      <c r="C726" t="s">
        <v>21</v>
      </c>
      <c r="D726" t="s">
        <v>17</v>
      </c>
      <c r="E726" t="s">
        <v>23</v>
      </c>
      <c r="F726">
        <v>95.54</v>
      </c>
      <c r="G726">
        <v>7</v>
      </c>
      <c r="H726">
        <v>33.439</v>
      </c>
      <c r="I726">
        <f t="shared" si="11"/>
        <v>668.78000000000009</v>
      </c>
      <c r="J726">
        <v>702.21900000000005</v>
      </c>
    </row>
    <row r="727" spans="1:10" x14ac:dyDescent="0.35">
      <c r="A727" t="s">
        <v>25</v>
      </c>
      <c r="B727" t="s">
        <v>15</v>
      </c>
      <c r="C727" t="s">
        <v>16</v>
      </c>
      <c r="D727" t="s">
        <v>17</v>
      </c>
      <c r="E727" t="s">
        <v>24</v>
      </c>
      <c r="F727">
        <v>99.24</v>
      </c>
      <c r="G727">
        <v>9</v>
      </c>
      <c r="H727">
        <v>44.658000000000001</v>
      </c>
      <c r="I727">
        <f t="shared" si="11"/>
        <v>893.16</v>
      </c>
      <c r="J727">
        <v>937.81799999999998</v>
      </c>
    </row>
    <row r="728" spans="1:10" x14ac:dyDescent="0.35">
      <c r="A728" t="s">
        <v>25</v>
      </c>
      <c r="B728" t="s">
        <v>15</v>
      </c>
      <c r="C728" t="s">
        <v>16</v>
      </c>
      <c r="D728" t="s">
        <v>13</v>
      </c>
      <c r="E728" t="s">
        <v>24</v>
      </c>
      <c r="F728">
        <v>82.93</v>
      </c>
      <c r="G728">
        <v>4</v>
      </c>
      <c r="H728">
        <v>16.585999999999999</v>
      </c>
      <c r="I728">
        <f t="shared" si="11"/>
        <v>331.72</v>
      </c>
      <c r="J728">
        <v>348.30600000000004</v>
      </c>
    </row>
    <row r="729" spans="1:10" x14ac:dyDescent="0.35">
      <c r="A729" t="s">
        <v>25</v>
      </c>
      <c r="B729" t="s">
        <v>11</v>
      </c>
      <c r="C729" t="s">
        <v>12</v>
      </c>
      <c r="D729" t="s">
        <v>17</v>
      </c>
      <c r="E729" t="s">
        <v>19</v>
      </c>
      <c r="F729">
        <v>33.99</v>
      </c>
      <c r="G729">
        <v>6</v>
      </c>
      <c r="H729">
        <v>10.196999999999999</v>
      </c>
      <c r="I729">
        <f t="shared" si="11"/>
        <v>203.94</v>
      </c>
      <c r="J729">
        <v>214.137</v>
      </c>
    </row>
    <row r="730" spans="1:10" x14ac:dyDescent="0.35">
      <c r="A730" t="s">
        <v>25</v>
      </c>
      <c r="B730" t="s">
        <v>15</v>
      </c>
      <c r="C730" t="s">
        <v>16</v>
      </c>
      <c r="D730" t="s">
        <v>13</v>
      </c>
      <c r="E730" t="s">
        <v>22</v>
      </c>
      <c r="F730">
        <v>17.04</v>
      </c>
      <c r="G730">
        <v>4</v>
      </c>
      <c r="H730">
        <v>3.4079999999999999</v>
      </c>
      <c r="I730">
        <f t="shared" si="11"/>
        <v>68.16</v>
      </c>
      <c r="J730">
        <v>71.567999999999998</v>
      </c>
    </row>
    <row r="731" spans="1:10" x14ac:dyDescent="0.35">
      <c r="A731" t="s">
        <v>25</v>
      </c>
      <c r="B731" t="s">
        <v>15</v>
      </c>
      <c r="C731" t="s">
        <v>16</v>
      </c>
      <c r="D731" t="s">
        <v>13</v>
      </c>
      <c r="E731" t="s">
        <v>22</v>
      </c>
      <c r="F731">
        <v>17.440000000000001</v>
      </c>
      <c r="G731">
        <v>5</v>
      </c>
      <c r="H731">
        <v>4.3600000000000003</v>
      </c>
      <c r="I731">
        <f t="shared" si="11"/>
        <v>87.2</v>
      </c>
      <c r="J731">
        <v>91.56</v>
      </c>
    </row>
    <row r="732" spans="1:10" x14ac:dyDescent="0.35">
      <c r="A732" t="s">
        <v>25</v>
      </c>
      <c r="B732" t="s">
        <v>15</v>
      </c>
      <c r="C732" t="s">
        <v>16</v>
      </c>
      <c r="D732" t="s">
        <v>17</v>
      </c>
      <c r="E732" t="s">
        <v>23</v>
      </c>
      <c r="F732">
        <v>12.78</v>
      </c>
      <c r="G732">
        <v>1</v>
      </c>
      <c r="H732">
        <v>639</v>
      </c>
      <c r="I732">
        <f t="shared" si="11"/>
        <v>12.78</v>
      </c>
      <c r="J732">
        <v>651.78</v>
      </c>
    </row>
    <row r="733" spans="1:10" x14ac:dyDescent="0.35">
      <c r="A733" t="s">
        <v>25</v>
      </c>
      <c r="B733" t="s">
        <v>15</v>
      </c>
      <c r="C733" t="s">
        <v>16</v>
      </c>
      <c r="D733" t="s">
        <v>13</v>
      </c>
      <c r="E733" t="s">
        <v>22</v>
      </c>
      <c r="F733">
        <v>27.66</v>
      </c>
      <c r="G733">
        <v>10</v>
      </c>
      <c r="H733">
        <v>13.83</v>
      </c>
      <c r="I733">
        <f t="shared" si="11"/>
        <v>276.60000000000002</v>
      </c>
      <c r="J733">
        <v>290.43</v>
      </c>
    </row>
    <row r="734" spans="1:10" x14ac:dyDescent="0.35">
      <c r="A734" t="s">
        <v>25</v>
      </c>
      <c r="B734" t="s">
        <v>15</v>
      </c>
      <c r="C734" t="s">
        <v>16</v>
      </c>
      <c r="D734" t="s">
        <v>17</v>
      </c>
      <c r="E734" t="s">
        <v>23</v>
      </c>
      <c r="F734">
        <v>45.74</v>
      </c>
      <c r="G734">
        <v>3</v>
      </c>
      <c r="H734">
        <v>6.8609999999999998</v>
      </c>
      <c r="I734">
        <f t="shared" si="11"/>
        <v>137.22</v>
      </c>
      <c r="J734">
        <v>144.08099999999999</v>
      </c>
    </row>
    <row r="735" spans="1:10" x14ac:dyDescent="0.35">
      <c r="A735" t="s">
        <v>25</v>
      </c>
      <c r="B735" t="s">
        <v>20</v>
      </c>
      <c r="C735" t="s">
        <v>21</v>
      </c>
      <c r="D735" t="s">
        <v>17</v>
      </c>
      <c r="E735" t="s">
        <v>18</v>
      </c>
      <c r="F735">
        <v>22.01</v>
      </c>
      <c r="G735">
        <v>6</v>
      </c>
      <c r="H735">
        <v>6.6029999999999998</v>
      </c>
      <c r="I735">
        <f t="shared" si="11"/>
        <v>132.06</v>
      </c>
      <c r="J735">
        <v>138.66300000000001</v>
      </c>
    </row>
    <row r="736" spans="1:10" x14ac:dyDescent="0.35">
      <c r="A736" t="s">
        <v>25</v>
      </c>
      <c r="B736" t="s">
        <v>11</v>
      </c>
      <c r="C736" t="s">
        <v>12</v>
      </c>
      <c r="D736" t="s">
        <v>17</v>
      </c>
      <c r="E736" t="s">
        <v>14</v>
      </c>
      <c r="F736">
        <v>25</v>
      </c>
      <c r="G736">
        <v>1</v>
      </c>
      <c r="H736">
        <v>1.25</v>
      </c>
      <c r="I736">
        <f t="shared" si="11"/>
        <v>25</v>
      </c>
      <c r="J736">
        <v>26.25</v>
      </c>
    </row>
    <row r="737" spans="1:10" x14ac:dyDescent="0.35">
      <c r="A737" t="s">
        <v>25</v>
      </c>
      <c r="B737" t="s">
        <v>11</v>
      </c>
      <c r="C737" t="s">
        <v>12</v>
      </c>
      <c r="D737" t="s">
        <v>13</v>
      </c>
      <c r="E737" t="s">
        <v>18</v>
      </c>
      <c r="F737">
        <v>20.77</v>
      </c>
      <c r="G737">
        <v>4</v>
      </c>
      <c r="H737">
        <v>4.1539999999999999</v>
      </c>
      <c r="I737">
        <f t="shared" si="11"/>
        <v>83.08</v>
      </c>
      <c r="J737">
        <v>87.233999999999995</v>
      </c>
    </row>
    <row r="738" spans="1:10" x14ac:dyDescent="0.35">
      <c r="A738" t="s">
        <v>25</v>
      </c>
      <c r="B738" t="s">
        <v>20</v>
      </c>
      <c r="C738" t="s">
        <v>21</v>
      </c>
      <c r="D738" t="s">
        <v>17</v>
      </c>
      <c r="E738" t="s">
        <v>18</v>
      </c>
      <c r="F738">
        <v>79.39</v>
      </c>
      <c r="G738">
        <v>10</v>
      </c>
      <c r="H738">
        <v>39.695</v>
      </c>
      <c r="I738">
        <f t="shared" si="11"/>
        <v>793.9</v>
      </c>
      <c r="J738">
        <v>833.59500000000003</v>
      </c>
    </row>
    <row r="739" spans="1:10" x14ac:dyDescent="0.35">
      <c r="A739" t="s">
        <v>25</v>
      </c>
      <c r="B739" t="s">
        <v>15</v>
      </c>
      <c r="C739" t="s">
        <v>16</v>
      </c>
      <c r="D739" t="s">
        <v>17</v>
      </c>
      <c r="E739" t="s">
        <v>22</v>
      </c>
      <c r="F739">
        <v>35.89</v>
      </c>
      <c r="G739">
        <v>1</v>
      </c>
      <c r="H739">
        <v>1.7945</v>
      </c>
      <c r="I739">
        <f t="shared" si="11"/>
        <v>35.89</v>
      </c>
      <c r="J739">
        <v>37.6845</v>
      </c>
    </row>
    <row r="740" spans="1:10" x14ac:dyDescent="0.35">
      <c r="A740" t="s">
        <v>25</v>
      </c>
      <c r="B740" t="s">
        <v>15</v>
      </c>
      <c r="C740" t="s">
        <v>16</v>
      </c>
      <c r="D740" t="s">
        <v>17</v>
      </c>
      <c r="E740" t="s">
        <v>22</v>
      </c>
      <c r="F740">
        <v>40.520000000000003</v>
      </c>
      <c r="G740">
        <v>5</v>
      </c>
      <c r="H740">
        <v>10.130000000000001</v>
      </c>
      <c r="I740">
        <f t="shared" si="11"/>
        <v>202.60000000000002</v>
      </c>
      <c r="J740">
        <v>212.73000000000002</v>
      </c>
    </row>
    <row r="741" spans="1:10" x14ac:dyDescent="0.35">
      <c r="A741" t="s">
        <v>25</v>
      </c>
      <c r="B741" t="s">
        <v>11</v>
      </c>
      <c r="C741" t="s">
        <v>12</v>
      </c>
      <c r="D741" t="s">
        <v>13</v>
      </c>
      <c r="E741" t="s">
        <v>22</v>
      </c>
      <c r="F741">
        <v>51.34</v>
      </c>
      <c r="G741">
        <v>5</v>
      </c>
      <c r="H741">
        <v>12.835000000000001</v>
      </c>
      <c r="I741">
        <f t="shared" si="11"/>
        <v>256.70000000000005</v>
      </c>
      <c r="J741">
        <v>269.53500000000003</v>
      </c>
    </row>
    <row r="742" spans="1:10" x14ac:dyDescent="0.35">
      <c r="A742" t="s">
        <v>25</v>
      </c>
      <c r="B742" t="s">
        <v>20</v>
      </c>
      <c r="C742" t="s">
        <v>21</v>
      </c>
      <c r="D742" t="s">
        <v>17</v>
      </c>
      <c r="E742" t="s">
        <v>24</v>
      </c>
      <c r="F742">
        <v>37.020000000000003</v>
      </c>
      <c r="G742">
        <v>6</v>
      </c>
      <c r="H742">
        <v>11.106</v>
      </c>
      <c r="I742">
        <f t="shared" si="11"/>
        <v>222.12</v>
      </c>
      <c r="J742">
        <v>233.226</v>
      </c>
    </row>
    <row r="743" spans="1:10" x14ac:dyDescent="0.35">
      <c r="A743" t="s">
        <v>25</v>
      </c>
      <c r="B743" t="s">
        <v>15</v>
      </c>
      <c r="C743" t="s">
        <v>16</v>
      </c>
      <c r="D743" t="s">
        <v>17</v>
      </c>
      <c r="E743" t="s">
        <v>22</v>
      </c>
      <c r="F743">
        <v>21.58</v>
      </c>
      <c r="G743">
        <v>1</v>
      </c>
      <c r="H743">
        <v>1.079</v>
      </c>
      <c r="I743">
        <f t="shared" si="11"/>
        <v>21.58</v>
      </c>
      <c r="J743">
        <v>22.658999999999999</v>
      </c>
    </row>
    <row r="744" spans="1:10" x14ac:dyDescent="0.35">
      <c r="A744" t="s">
        <v>25</v>
      </c>
      <c r="B744" t="s">
        <v>11</v>
      </c>
      <c r="C744" t="s">
        <v>12</v>
      </c>
      <c r="D744" t="s">
        <v>13</v>
      </c>
      <c r="E744" t="s">
        <v>23</v>
      </c>
      <c r="F744">
        <v>43.13</v>
      </c>
      <c r="G744">
        <v>10</v>
      </c>
      <c r="H744">
        <v>21.565000000000001</v>
      </c>
      <c r="I744">
        <f t="shared" si="11"/>
        <v>431.3</v>
      </c>
      <c r="J744">
        <v>452.86500000000001</v>
      </c>
    </row>
    <row r="745" spans="1:10" x14ac:dyDescent="0.35">
      <c r="A745" t="s">
        <v>25</v>
      </c>
      <c r="B745" t="s">
        <v>20</v>
      </c>
      <c r="C745" t="s">
        <v>21</v>
      </c>
      <c r="D745" t="s">
        <v>13</v>
      </c>
      <c r="E745" t="s">
        <v>14</v>
      </c>
      <c r="F745">
        <v>72.569999999999993</v>
      </c>
      <c r="G745">
        <v>8</v>
      </c>
      <c r="H745">
        <v>29.027999999999999</v>
      </c>
      <c r="I745">
        <f t="shared" si="11"/>
        <v>580.55999999999995</v>
      </c>
      <c r="J745">
        <v>609.58799999999997</v>
      </c>
    </row>
    <row r="746" spans="1:10" x14ac:dyDescent="0.35">
      <c r="A746" t="s">
        <v>25</v>
      </c>
      <c r="B746" t="s">
        <v>11</v>
      </c>
      <c r="C746" t="s">
        <v>12</v>
      </c>
      <c r="D746" t="s">
        <v>17</v>
      </c>
      <c r="E746" t="s">
        <v>14</v>
      </c>
      <c r="F746">
        <v>65.180000000000007</v>
      </c>
      <c r="G746">
        <v>3</v>
      </c>
      <c r="H746">
        <v>9.7769999999999992</v>
      </c>
      <c r="I746">
        <f t="shared" si="11"/>
        <v>195.54000000000002</v>
      </c>
      <c r="J746">
        <v>205.31700000000001</v>
      </c>
    </row>
    <row r="747" spans="1:10" x14ac:dyDescent="0.35">
      <c r="A747" t="s">
        <v>25</v>
      </c>
      <c r="B747" t="s">
        <v>15</v>
      </c>
      <c r="C747" t="s">
        <v>16</v>
      </c>
      <c r="D747" t="s">
        <v>17</v>
      </c>
      <c r="E747" t="s">
        <v>18</v>
      </c>
      <c r="F747">
        <v>84.07</v>
      </c>
      <c r="G747">
        <v>4</v>
      </c>
      <c r="H747">
        <v>16.814</v>
      </c>
      <c r="I747">
        <f t="shared" si="11"/>
        <v>336.28</v>
      </c>
      <c r="J747">
        <v>353.09399999999999</v>
      </c>
    </row>
    <row r="748" spans="1:10" x14ac:dyDescent="0.35">
      <c r="A748" t="s">
        <v>25</v>
      </c>
      <c r="B748" t="s">
        <v>20</v>
      </c>
      <c r="C748" t="s">
        <v>21</v>
      </c>
      <c r="D748" t="s">
        <v>17</v>
      </c>
      <c r="E748" t="s">
        <v>24</v>
      </c>
      <c r="F748">
        <v>34.369999999999997</v>
      </c>
      <c r="G748">
        <v>10</v>
      </c>
      <c r="H748">
        <v>17.184999999999999</v>
      </c>
      <c r="I748">
        <f t="shared" si="11"/>
        <v>343.7</v>
      </c>
      <c r="J748">
        <v>360.88499999999999</v>
      </c>
    </row>
    <row r="749" spans="1:10" x14ac:dyDescent="0.35">
      <c r="A749" t="s">
        <v>25</v>
      </c>
      <c r="B749" t="s">
        <v>11</v>
      </c>
      <c r="C749" t="s">
        <v>12</v>
      </c>
      <c r="D749" t="s">
        <v>17</v>
      </c>
      <c r="E749" t="s">
        <v>18</v>
      </c>
      <c r="F749">
        <v>38.6</v>
      </c>
      <c r="G749">
        <v>1</v>
      </c>
      <c r="H749">
        <v>1.93</v>
      </c>
      <c r="I749">
        <f t="shared" si="11"/>
        <v>38.6</v>
      </c>
      <c r="J749">
        <v>40.53</v>
      </c>
    </row>
    <row r="750" spans="1:10" x14ac:dyDescent="0.35">
      <c r="A750" t="s">
        <v>25</v>
      </c>
      <c r="B750" t="s">
        <v>15</v>
      </c>
      <c r="C750" t="s">
        <v>16</v>
      </c>
      <c r="D750" t="s">
        <v>17</v>
      </c>
      <c r="E750" t="s">
        <v>22</v>
      </c>
      <c r="F750">
        <v>65.97</v>
      </c>
      <c r="G750">
        <v>8</v>
      </c>
      <c r="H750">
        <v>26.388000000000002</v>
      </c>
      <c r="I750">
        <f t="shared" si="11"/>
        <v>527.76</v>
      </c>
      <c r="J750">
        <v>554.14800000000002</v>
      </c>
    </row>
    <row r="751" spans="1:10" x14ac:dyDescent="0.35">
      <c r="A751" t="s">
        <v>25</v>
      </c>
      <c r="B751" t="s">
        <v>11</v>
      </c>
      <c r="C751" t="s">
        <v>12</v>
      </c>
      <c r="D751" t="s">
        <v>17</v>
      </c>
      <c r="E751" t="s">
        <v>24</v>
      </c>
      <c r="F751">
        <v>37.14</v>
      </c>
      <c r="G751">
        <v>5</v>
      </c>
      <c r="H751">
        <v>9.2850000000000001</v>
      </c>
      <c r="I751">
        <f t="shared" si="11"/>
        <v>185.7</v>
      </c>
      <c r="J751">
        <v>194.98499999999999</v>
      </c>
    </row>
    <row r="752" spans="1:10" x14ac:dyDescent="0.35">
      <c r="A752" t="s">
        <v>25</v>
      </c>
      <c r="B752" t="s">
        <v>20</v>
      </c>
      <c r="C752" t="s">
        <v>21</v>
      </c>
      <c r="D752" t="s">
        <v>13</v>
      </c>
      <c r="E752" t="s">
        <v>19</v>
      </c>
      <c r="F752">
        <v>60.38</v>
      </c>
      <c r="G752">
        <v>10</v>
      </c>
      <c r="H752">
        <v>30.19</v>
      </c>
      <c r="I752">
        <f t="shared" si="11"/>
        <v>603.80000000000007</v>
      </c>
      <c r="J752">
        <v>633.99000000000012</v>
      </c>
    </row>
    <row r="753" spans="1:10" x14ac:dyDescent="0.35">
      <c r="A753" t="s">
        <v>25</v>
      </c>
      <c r="B753" t="s">
        <v>11</v>
      </c>
      <c r="C753" t="s">
        <v>12</v>
      </c>
      <c r="D753" t="s">
        <v>17</v>
      </c>
      <c r="E753" t="s">
        <v>23</v>
      </c>
      <c r="F753">
        <v>37.15</v>
      </c>
      <c r="G753">
        <v>4</v>
      </c>
      <c r="H753">
        <v>7.43</v>
      </c>
      <c r="I753">
        <f t="shared" si="11"/>
        <v>148.6</v>
      </c>
      <c r="J753">
        <v>156.03</v>
      </c>
    </row>
    <row r="754" spans="1:10" x14ac:dyDescent="0.35">
      <c r="A754" t="s">
        <v>25</v>
      </c>
      <c r="B754" t="s">
        <v>15</v>
      </c>
      <c r="C754" t="s">
        <v>16</v>
      </c>
      <c r="D754" t="s">
        <v>17</v>
      </c>
      <c r="E754" t="s">
        <v>19</v>
      </c>
      <c r="F754">
        <v>22.96</v>
      </c>
      <c r="G754">
        <v>1</v>
      </c>
      <c r="H754">
        <v>1.1479999999999999</v>
      </c>
      <c r="I754">
        <f t="shared" si="11"/>
        <v>22.96</v>
      </c>
      <c r="J754">
        <v>24.108000000000001</v>
      </c>
    </row>
    <row r="755" spans="1:10" x14ac:dyDescent="0.35">
      <c r="A755" t="s">
        <v>25</v>
      </c>
      <c r="B755" t="s">
        <v>20</v>
      </c>
      <c r="C755" t="s">
        <v>21</v>
      </c>
      <c r="D755" t="s">
        <v>17</v>
      </c>
      <c r="E755" t="s">
        <v>23</v>
      </c>
      <c r="F755">
        <v>99.89</v>
      </c>
      <c r="G755">
        <v>2</v>
      </c>
      <c r="H755">
        <v>9.9890000000000008</v>
      </c>
      <c r="I755">
        <f t="shared" si="11"/>
        <v>199.78</v>
      </c>
      <c r="J755">
        <v>209.76900000000001</v>
      </c>
    </row>
    <row r="756" spans="1:10" x14ac:dyDescent="0.35">
      <c r="A756" t="s">
        <v>25</v>
      </c>
      <c r="B756" t="s">
        <v>20</v>
      </c>
      <c r="C756" t="s">
        <v>21</v>
      </c>
      <c r="D756" t="s">
        <v>17</v>
      </c>
      <c r="E756" t="s">
        <v>24</v>
      </c>
      <c r="F756">
        <v>75.92</v>
      </c>
      <c r="G756">
        <v>8</v>
      </c>
      <c r="H756">
        <v>30.367999999999999</v>
      </c>
      <c r="I756">
        <f t="shared" si="11"/>
        <v>607.36</v>
      </c>
      <c r="J756">
        <v>637.72800000000007</v>
      </c>
    </row>
    <row r="757" spans="1:10" x14ac:dyDescent="0.35">
      <c r="A757" t="s">
        <v>25</v>
      </c>
      <c r="B757" t="s">
        <v>20</v>
      </c>
      <c r="C757" t="s">
        <v>21</v>
      </c>
      <c r="D757" t="s">
        <v>13</v>
      </c>
      <c r="E757" t="s">
        <v>24</v>
      </c>
      <c r="F757">
        <v>73.97</v>
      </c>
      <c r="G757">
        <v>1</v>
      </c>
      <c r="H757">
        <v>3.6985000000000001</v>
      </c>
      <c r="I757">
        <f t="shared" si="11"/>
        <v>73.97</v>
      </c>
      <c r="J757">
        <v>77.668499999999995</v>
      </c>
    </row>
    <row r="758" spans="1:10" x14ac:dyDescent="0.35">
      <c r="A758" t="s">
        <v>25</v>
      </c>
      <c r="B758" t="s">
        <v>15</v>
      </c>
      <c r="C758" t="s">
        <v>16</v>
      </c>
      <c r="D758" t="s">
        <v>17</v>
      </c>
      <c r="E758" t="s">
        <v>19</v>
      </c>
      <c r="F758">
        <v>69.400000000000006</v>
      </c>
      <c r="G758">
        <v>2</v>
      </c>
      <c r="H758">
        <v>6.94</v>
      </c>
      <c r="I758">
        <f t="shared" si="11"/>
        <v>138.80000000000001</v>
      </c>
      <c r="J758">
        <v>145.74</v>
      </c>
    </row>
    <row r="759" spans="1:10" x14ac:dyDescent="0.35">
      <c r="A759" t="s">
        <v>25</v>
      </c>
      <c r="B759" t="s">
        <v>20</v>
      </c>
      <c r="C759" t="s">
        <v>21</v>
      </c>
      <c r="D759" t="s">
        <v>17</v>
      </c>
      <c r="E759" t="s">
        <v>24</v>
      </c>
      <c r="F759">
        <v>88.45</v>
      </c>
      <c r="G759">
        <v>1</v>
      </c>
      <c r="H759">
        <v>4.4225000000000003</v>
      </c>
      <c r="I759">
        <f t="shared" si="11"/>
        <v>88.45</v>
      </c>
      <c r="J759">
        <v>92.872500000000002</v>
      </c>
    </row>
    <row r="760" spans="1:10" x14ac:dyDescent="0.35">
      <c r="A760" t="s">
        <v>25</v>
      </c>
      <c r="B760" t="s">
        <v>11</v>
      </c>
      <c r="C760" t="s">
        <v>12</v>
      </c>
      <c r="D760" t="s">
        <v>13</v>
      </c>
      <c r="E760" t="s">
        <v>18</v>
      </c>
      <c r="F760">
        <v>24.18</v>
      </c>
      <c r="G760">
        <v>8</v>
      </c>
      <c r="H760">
        <v>9.6720000000000006</v>
      </c>
      <c r="I760">
        <f t="shared" si="11"/>
        <v>193.44</v>
      </c>
      <c r="J760">
        <v>203.11199999999999</v>
      </c>
    </row>
    <row r="761" spans="1:10" x14ac:dyDescent="0.35">
      <c r="A761" t="s">
        <v>25</v>
      </c>
      <c r="B761" t="s">
        <v>20</v>
      </c>
      <c r="C761" t="s">
        <v>21</v>
      </c>
      <c r="D761" t="s">
        <v>13</v>
      </c>
      <c r="E761" t="s">
        <v>14</v>
      </c>
      <c r="F761">
        <v>61.29</v>
      </c>
      <c r="G761">
        <v>5</v>
      </c>
      <c r="H761">
        <v>153.22499999999999</v>
      </c>
      <c r="I761">
        <f t="shared" si="11"/>
        <v>306.45</v>
      </c>
      <c r="J761">
        <v>459.67499999999995</v>
      </c>
    </row>
    <row r="762" spans="1:10" x14ac:dyDescent="0.35">
      <c r="A762" t="s">
        <v>25</v>
      </c>
      <c r="B762" t="s">
        <v>11</v>
      </c>
      <c r="C762" t="s">
        <v>12</v>
      </c>
      <c r="D762" t="s">
        <v>17</v>
      </c>
      <c r="E762" t="s">
        <v>18</v>
      </c>
      <c r="F762">
        <v>99.55</v>
      </c>
      <c r="G762">
        <v>7</v>
      </c>
      <c r="H762">
        <v>348.42500000000001</v>
      </c>
      <c r="I762">
        <f t="shared" si="11"/>
        <v>696.85</v>
      </c>
      <c r="J762">
        <v>1045.2750000000001</v>
      </c>
    </row>
    <row r="763" spans="1:10" x14ac:dyDescent="0.35">
      <c r="A763" t="s">
        <v>25</v>
      </c>
      <c r="B763" t="s">
        <v>15</v>
      </c>
      <c r="C763" t="s">
        <v>16</v>
      </c>
      <c r="D763" t="s">
        <v>13</v>
      </c>
      <c r="E763" t="s">
        <v>24</v>
      </c>
      <c r="F763">
        <v>58.39</v>
      </c>
      <c r="G763">
        <v>7</v>
      </c>
      <c r="H763">
        <v>204.36500000000001</v>
      </c>
      <c r="I763">
        <f t="shared" si="11"/>
        <v>408.73</v>
      </c>
      <c r="J763">
        <v>613.09500000000003</v>
      </c>
    </row>
    <row r="764" spans="1:10" x14ac:dyDescent="0.35">
      <c r="A764" t="s">
        <v>25</v>
      </c>
      <c r="B764" t="s">
        <v>20</v>
      </c>
      <c r="C764" t="s">
        <v>21</v>
      </c>
      <c r="D764" t="s">
        <v>13</v>
      </c>
      <c r="E764" t="s">
        <v>14</v>
      </c>
      <c r="F764">
        <v>54.86</v>
      </c>
      <c r="G764">
        <v>5</v>
      </c>
      <c r="H764">
        <v>13.715</v>
      </c>
      <c r="I764">
        <f t="shared" si="11"/>
        <v>274.3</v>
      </c>
      <c r="J764">
        <v>288.01499999999999</v>
      </c>
    </row>
    <row r="765" spans="1:10" x14ac:dyDescent="0.35">
      <c r="A765" t="s">
        <v>25</v>
      </c>
      <c r="B765" t="s">
        <v>15</v>
      </c>
      <c r="C765" t="s">
        <v>16</v>
      </c>
      <c r="D765" t="s">
        <v>13</v>
      </c>
      <c r="E765" t="s">
        <v>19</v>
      </c>
      <c r="F765">
        <v>39.39</v>
      </c>
      <c r="G765">
        <v>5</v>
      </c>
      <c r="H765">
        <v>9.8475000000000001</v>
      </c>
      <c r="I765">
        <f t="shared" si="11"/>
        <v>196.95</v>
      </c>
      <c r="J765">
        <v>206.79749999999999</v>
      </c>
    </row>
    <row r="766" spans="1:10" x14ac:dyDescent="0.35">
      <c r="A766" t="s">
        <v>25</v>
      </c>
      <c r="B766" t="s">
        <v>11</v>
      </c>
      <c r="C766" t="s">
        <v>12</v>
      </c>
      <c r="D766" t="s">
        <v>17</v>
      </c>
      <c r="E766" t="s">
        <v>19</v>
      </c>
      <c r="F766">
        <v>34.729999999999997</v>
      </c>
      <c r="G766">
        <v>2</v>
      </c>
      <c r="H766">
        <v>3.4729999999999999</v>
      </c>
      <c r="I766">
        <f t="shared" si="11"/>
        <v>69.459999999999994</v>
      </c>
      <c r="J766">
        <v>72.932999999999993</v>
      </c>
    </row>
    <row r="767" spans="1:10" x14ac:dyDescent="0.35">
      <c r="A767" t="s">
        <v>25</v>
      </c>
      <c r="B767" t="s">
        <v>15</v>
      </c>
      <c r="C767" t="s">
        <v>16</v>
      </c>
      <c r="D767" t="s">
        <v>13</v>
      </c>
      <c r="E767" t="s">
        <v>24</v>
      </c>
      <c r="F767">
        <v>71.92</v>
      </c>
      <c r="G767">
        <v>5</v>
      </c>
      <c r="H767">
        <v>17.98</v>
      </c>
      <c r="I767">
        <f t="shared" si="11"/>
        <v>359.6</v>
      </c>
      <c r="J767">
        <v>377.58000000000004</v>
      </c>
    </row>
    <row r="768" spans="1:10" x14ac:dyDescent="0.35">
      <c r="A768" t="s">
        <v>25</v>
      </c>
      <c r="B768" t="s">
        <v>15</v>
      </c>
      <c r="C768" t="s">
        <v>16</v>
      </c>
      <c r="D768" t="s">
        <v>17</v>
      </c>
      <c r="E768" t="s">
        <v>14</v>
      </c>
      <c r="F768">
        <v>62.87</v>
      </c>
      <c r="G768">
        <v>2</v>
      </c>
      <c r="H768">
        <v>6.2869999999999999</v>
      </c>
      <c r="I768">
        <f t="shared" si="11"/>
        <v>125.74</v>
      </c>
      <c r="J768">
        <v>132.02699999999999</v>
      </c>
    </row>
    <row r="769" spans="1:10" x14ac:dyDescent="0.35">
      <c r="A769" t="s">
        <v>25</v>
      </c>
      <c r="B769" t="s">
        <v>11</v>
      </c>
      <c r="C769" t="s">
        <v>12</v>
      </c>
      <c r="D769" t="s">
        <v>17</v>
      </c>
      <c r="E769" t="s">
        <v>22</v>
      </c>
      <c r="F769">
        <v>81.709999999999994</v>
      </c>
      <c r="G769">
        <v>6</v>
      </c>
      <c r="H769">
        <v>24.513000000000002</v>
      </c>
      <c r="I769">
        <f t="shared" si="11"/>
        <v>490.26</v>
      </c>
      <c r="J769">
        <v>514.77300000000002</v>
      </c>
    </row>
    <row r="770" spans="1:10" x14ac:dyDescent="0.35">
      <c r="A770" t="s">
        <v>25</v>
      </c>
      <c r="B770" t="s">
        <v>20</v>
      </c>
      <c r="C770" t="s">
        <v>21</v>
      </c>
      <c r="D770" t="s">
        <v>17</v>
      </c>
      <c r="E770" t="s">
        <v>23</v>
      </c>
      <c r="F770">
        <v>39.21</v>
      </c>
      <c r="G770">
        <v>4</v>
      </c>
      <c r="H770">
        <v>7.8419999999999996</v>
      </c>
      <c r="I770">
        <f t="shared" si="11"/>
        <v>156.84</v>
      </c>
      <c r="J770">
        <v>164.68200000000002</v>
      </c>
    </row>
    <row r="771" spans="1:10" x14ac:dyDescent="0.35">
      <c r="A771" t="s">
        <v>25</v>
      </c>
      <c r="B771" t="s">
        <v>20</v>
      </c>
      <c r="C771" t="s">
        <v>21</v>
      </c>
      <c r="D771" t="s">
        <v>13</v>
      </c>
      <c r="E771" t="s">
        <v>23</v>
      </c>
      <c r="F771">
        <v>59.86</v>
      </c>
      <c r="G771">
        <v>2</v>
      </c>
      <c r="H771">
        <v>5.9859999999999998</v>
      </c>
      <c r="I771">
        <f t="shared" ref="I771:I834" si="12">F771*G771</f>
        <v>119.72</v>
      </c>
      <c r="J771">
        <v>125.706</v>
      </c>
    </row>
    <row r="772" spans="1:10" x14ac:dyDescent="0.35">
      <c r="A772" t="s">
        <v>25</v>
      </c>
      <c r="B772" t="s">
        <v>11</v>
      </c>
      <c r="C772" t="s">
        <v>12</v>
      </c>
      <c r="D772" t="s">
        <v>17</v>
      </c>
      <c r="E772" t="s">
        <v>24</v>
      </c>
      <c r="F772">
        <v>98.09</v>
      </c>
      <c r="G772">
        <v>9</v>
      </c>
      <c r="H772">
        <v>441.40499999999997</v>
      </c>
      <c r="I772">
        <f t="shared" si="12"/>
        <v>882.81000000000006</v>
      </c>
      <c r="J772">
        <v>1324.2150000000001</v>
      </c>
    </row>
    <row r="773" spans="1:10" x14ac:dyDescent="0.35">
      <c r="A773" t="s">
        <v>25</v>
      </c>
      <c r="B773" t="s">
        <v>11</v>
      </c>
      <c r="C773" t="s">
        <v>12</v>
      </c>
      <c r="D773" t="s">
        <v>17</v>
      </c>
      <c r="E773" t="s">
        <v>14</v>
      </c>
      <c r="F773">
        <v>25.43</v>
      </c>
      <c r="G773">
        <v>6</v>
      </c>
      <c r="H773">
        <v>7.6289999999999996</v>
      </c>
      <c r="I773">
        <f t="shared" si="12"/>
        <v>152.57999999999998</v>
      </c>
      <c r="J773">
        <v>160.20899999999997</v>
      </c>
    </row>
    <row r="774" spans="1:10" x14ac:dyDescent="0.35">
      <c r="A774" t="s">
        <v>25</v>
      </c>
      <c r="B774" t="s">
        <v>11</v>
      </c>
      <c r="C774" t="s">
        <v>12</v>
      </c>
      <c r="D774" t="s">
        <v>13</v>
      </c>
      <c r="E774" t="s">
        <v>23</v>
      </c>
      <c r="F774">
        <v>86.68</v>
      </c>
      <c r="G774">
        <v>8</v>
      </c>
      <c r="H774">
        <v>34.671999999999997</v>
      </c>
      <c r="I774">
        <f t="shared" si="12"/>
        <v>693.44</v>
      </c>
      <c r="J774">
        <v>728.11200000000008</v>
      </c>
    </row>
    <row r="775" spans="1:10" x14ac:dyDescent="0.35">
      <c r="A775" t="s">
        <v>25</v>
      </c>
      <c r="B775" t="s">
        <v>20</v>
      </c>
      <c r="C775" t="s">
        <v>21</v>
      </c>
      <c r="D775" t="s">
        <v>17</v>
      </c>
      <c r="E775" t="s">
        <v>18</v>
      </c>
      <c r="F775">
        <v>22.95</v>
      </c>
      <c r="G775">
        <v>10</v>
      </c>
      <c r="H775">
        <v>11.475</v>
      </c>
      <c r="I775">
        <f t="shared" si="12"/>
        <v>229.5</v>
      </c>
      <c r="J775">
        <v>240.97499999999999</v>
      </c>
    </row>
    <row r="776" spans="1:10" x14ac:dyDescent="0.35">
      <c r="A776" t="s">
        <v>25</v>
      </c>
      <c r="B776" t="s">
        <v>15</v>
      </c>
      <c r="C776" t="s">
        <v>16</v>
      </c>
      <c r="D776" t="s">
        <v>17</v>
      </c>
      <c r="E776" t="s">
        <v>19</v>
      </c>
      <c r="F776">
        <v>16.670000000000002</v>
      </c>
      <c r="G776">
        <v>7</v>
      </c>
      <c r="H776">
        <v>5.8345000000000002</v>
      </c>
      <c r="I776">
        <f t="shared" si="12"/>
        <v>116.69000000000001</v>
      </c>
      <c r="J776">
        <v>122.52450000000002</v>
      </c>
    </row>
    <row r="777" spans="1:10" x14ac:dyDescent="0.35">
      <c r="A777" t="s">
        <v>25</v>
      </c>
      <c r="B777" t="s">
        <v>11</v>
      </c>
      <c r="C777" t="s">
        <v>12</v>
      </c>
      <c r="D777" t="s">
        <v>17</v>
      </c>
      <c r="E777" t="s">
        <v>19</v>
      </c>
      <c r="F777">
        <v>97.94</v>
      </c>
      <c r="G777">
        <v>1</v>
      </c>
      <c r="H777">
        <v>4.8970000000000002</v>
      </c>
      <c r="I777">
        <f t="shared" si="12"/>
        <v>97.94</v>
      </c>
      <c r="J777">
        <v>102.837</v>
      </c>
    </row>
    <row r="778" spans="1:10" x14ac:dyDescent="0.35">
      <c r="A778" t="s">
        <v>25</v>
      </c>
      <c r="B778" t="s">
        <v>11</v>
      </c>
      <c r="C778" t="s">
        <v>12</v>
      </c>
      <c r="D778" t="s">
        <v>17</v>
      </c>
      <c r="E778" t="s">
        <v>19</v>
      </c>
      <c r="F778">
        <v>30.68</v>
      </c>
      <c r="G778">
        <v>3</v>
      </c>
      <c r="H778">
        <v>4.6020000000000003</v>
      </c>
      <c r="I778">
        <f t="shared" si="12"/>
        <v>92.039999999999992</v>
      </c>
      <c r="J778">
        <v>96.641999999999996</v>
      </c>
    </row>
    <row r="779" spans="1:10" x14ac:dyDescent="0.35">
      <c r="A779" t="s">
        <v>25</v>
      </c>
      <c r="B779" t="s">
        <v>15</v>
      </c>
      <c r="C779" t="s">
        <v>16</v>
      </c>
      <c r="D779" t="s">
        <v>13</v>
      </c>
      <c r="E779" t="s">
        <v>14</v>
      </c>
      <c r="F779">
        <v>75.88</v>
      </c>
      <c r="G779">
        <v>1</v>
      </c>
      <c r="H779">
        <v>3.794</v>
      </c>
      <c r="I779">
        <f t="shared" si="12"/>
        <v>75.88</v>
      </c>
      <c r="J779">
        <v>79.673999999999992</v>
      </c>
    </row>
    <row r="780" spans="1:10" x14ac:dyDescent="0.35">
      <c r="A780" t="s">
        <v>25</v>
      </c>
      <c r="B780" t="s">
        <v>15</v>
      </c>
      <c r="C780" t="s">
        <v>16</v>
      </c>
      <c r="D780" t="s">
        <v>13</v>
      </c>
      <c r="E780" t="s">
        <v>18</v>
      </c>
      <c r="F780">
        <v>18.77</v>
      </c>
      <c r="G780">
        <v>6</v>
      </c>
      <c r="H780">
        <v>5.6310000000000002</v>
      </c>
      <c r="I780">
        <f t="shared" si="12"/>
        <v>112.62</v>
      </c>
      <c r="J780">
        <v>118.251</v>
      </c>
    </row>
    <row r="781" spans="1:10" x14ac:dyDescent="0.35">
      <c r="A781" t="s">
        <v>25</v>
      </c>
      <c r="B781" t="s">
        <v>20</v>
      </c>
      <c r="C781" t="s">
        <v>21</v>
      </c>
      <c r="D781" t="s">
        <v>13</v>
      </c>
      <c r="E781" t="s">
        <v>19</v>
      </c>
      <c r="F781">
        <v>38.81</v>
      </c>
      <c r="G781">
        <v>4</v>
      </c>
      <c r="H781">
        <v>7.7619999999999996</v>
      </c>
      <c r="I781">
        <f t="shared" si="12"/>
        <v>155.24</v>
      </c>
      <c r="J781">
        <v>163.00200000000001</v>
      </c>
    </row>
    <row r="782" spans="1:10" x14ac:dyDescent="0.35">
      <c r="A782" t="s">
        <v>25</v>
      </c>
      <c r="B782" t="s">
        <v>11</v>
      </c>
      <c r="C782" t="s">
        <v>12</v>
      </c>
      <c r="D782" t="s">
        <v>17</v>
      </c>
      <c r="E782" t="s">
        <v>24</v>
      </c>
      <c r="F782">
        <v>60.95</v>
      </c>
      <c r="G782">
        <v>9</v>
      </c>
      <c r="H782">
        <v>274.27499999999998</v>
      </c>
      <c r="I782">
        <f t="shared" si="12"/>
        <v>548.55000000000007</v>
      </c>
      <c r="J782">
        <v>822.82500000000005</v>
      </c>
    </row>
    <row r="783" spans="1:10" x14ac:dyDescent="0.35">
      <c r="A783" t="s">
        <v>25</v>
      </c>
      <c r="B783" t="s">
        <v>20</v>
      </c>
      <c r="C783" t="s">
        <v>21</v>
      </c>
      <c r="D783" t="s">
        <v>17</v>
      </c>
      <c r="E783" t="s">
        <v>23</v>
      </c>
      <c r="F783">
        <v>57.27</v>
      </c>
      <c r="G783">
        <v>3</v>
      </c>
      <c r="H783">
        <v>8.5905000000000005</v>
      </c>
      <c r="I783">
        <f t="shared" si="12"/>
        <v>171.81</v>
      </c>
      <c r="J783">
        <v>180.40049999999999</v>
      </c>
    </row>
    <row r="784" spans="1:10" x14ac:dyDescent="0.35">
      <c r="A784" t="s">
        <v>25</v>
      </c>
      <c r="B784" t="s">
        <v>15</v>
      </c>
      <c r="C784" t="s">
        <v>16</v>
      </c>
      <c r="D784" t="s">
        <v>17</v>
      </c>
      <c r="E784" t="s">
        <v>18</v>
      </c>
      <c r="F784">
        <v>22.21</v>
      </c>
      <c r="G784">
        <v>6</v>
      </c>
      <c r="H784">
        <v>6.6630000000000003</v>
      </c>
      <c r="I784">
        <f t="shared" si="12"/>
        <v>133.26</v>
      </c>
      <c r="J784">
        <v>139.923</v>
      </c>
    </row>
    <row r="785" spans="1:10" x14ac:dyDescent="0.35">
      <c r="A785" t="s">
        <v>25</v>
      </c>
      <c r="B785" t="s">
        <v>11</v>
      </c>
      <c r="C785" t="s">
        <v>12</v>
      </c>
      <c r="D785" t="s">
        <v>13</v>
      </c>
      <c r="E785" t="s">
        <v>18</v>
      </c>
      <c r="F785">
        <v>19.32</v>
      </c>
      <c r="G785">
        <v>7</v>
      </c>
      <c r="H785">
        <v>6.7619999999999996</v>
      </c>
      <c r="I785">
        <f t="shared" si="12"/>
        <v>135.24</v>
      </c>
      <c r="J785">
        <v>142.00200000000001</v>
      </c>
    </row>
    <row r="786" spans="1:10" x14ac:dyDescent="0.35">
      <c r="A786" t="s">
        <v>25</v>
      </c>
      <c r="B786" t="s">
        <v>20</v>
      </c>
      <c r="C786" t="s">
        <v>21</v>
      </c>
      <c r="D786" t="s">
        <v>17</v>
      </c>
      <c r="E786" t="s">
        <v>19</v>
      </c>
      <c r="F786">
        <v>37.479999999999997</v>
      </c>
      <c r="G786">
        <v>3</v>
      </c>
      <c r="H786">
        <v>5.6219999999999999</v>
      </c>
      <c r="I786">
        <f t="shared" si="12"/>
        <v>112.44</v>
      </c>
      <c r="J786">
        <v>118.062</v>
      </c>
    </row>
    <row r="787" spans="1:10" x14ac:dyDescent="0.35">
      <c r="A787" t="s">
        <v>25</v>
      </c>
      <c r="B787" t="s">
        <v>11</v>
      </c>
      <c r="C787" t="s">
        <v>12</v>
      </c>
      <c r="D787" t="s">
        <v>13</v>
      </c>
      <c r="E787" t="s">
        <v>22</v>
      </c>
      <c r="F787">
        <v>41.66</v>
      </c>
      <c r="G787">
        <v>6</v>
      </c>
      <c r="H787">
        <v>12.497999999999999</v>
      </c>
      <c r="I787">
        <f t="shared" si="12"/>
        <v>249.95999999999998</v>
      </c>
      <c r="J787">
        <v>262.45799999999997</v>
      </c>
    </row>
    <row r="788" spans="1:10" x14ac:dyDescent="0.35">
      <c r="A788" t="s">
        <v>25</v>
      </c>
      <c r="B788" t="s">
        <v>20</v>
      </c>
      <c r="C788" t="s">
        <v>21</v>
      </c>
      <c r="D788" t="s">
        <v>17</v>
      </c>
      <c r="E788" t="s">
        <v>18</v>
      </c>
      <c r="F788">
        <v>21.58</v>
      </c>
      <c r="G788">
        <v>9</v>
      </c>
      <c r="H788">
        <v>9.7110000000000003</v>
      </c>
      <c r="I788">
        <f t="shared" si="12"/>
        <v>194.21999999999997</v>
      </c>
      <c r="J788">
        <v>203.93099999999998</v>
      </c>
    </row>
    <row r="789" spans="1:10" x14ac:dyDescent="0.35">
      <c r="A789" t="s">
        <v>25</v>
      </c>
      <c r="B789" t="s">
        <v>15</v>
      </c>
      <c r="C789" t="s">
        <v>16</v>
      </c>
      <c r="D789" t="s">
        <v>17</v>
      </c>
      <c r="E789" t="s">
        <v>22</v>
      </c>
      <c r="F789">
        <v>89.2</v>
      </c>
      <c r="G789">
        <v>10</v>
      </c>
      <c r="H789">
        <v>44.6</v>
      </c>
      <c r="I789">
        <f t="shared" si="12"/>
        <v>892</v>
      </c>
      <c r="J789">
        <v>936.6</v>
      </c>
    </row>
    <row r="790" spans="1:10" x14ac:dyDescent="0.35">
      <c r="A790" t="s">
        <v>25</v>
      </c>
      <c r="B790" t="s">
        <v>11</v>
      </c>
      <c r="C790" t="s">
        <v>12</v>
      </c>
      <c r="D790" t="s">
        <v>13</v>
      </c>
      <c r="E790" t="s">
        <v>18</v>
      </c>
      <c r="F790">
        <v>74.510000000000005</v>
      </c>
      <c r="G790">
        <v>6</v>
      </c>
      <c r="H790">
        <v>22.353000000000002</v>
      </c>
      <c r="I790">
        <f t="shared" si="12"/>
        <v>447.06000000000006</v>
      </c>
      <c r="J790">
        <v>469.41300000000007</v>
      </c>
    </row>
    <row r="791" spans="1:10" x14ac:dyDescent="0.35">
      <c r="A791" t="s">
        <v>25</v>
      </c>
      <c r="B791" t="s">
        <v>20</v>
      </c>
      <c r="C791" t="s">
        <v>21</v>
      </c>
      <c r="D791" t="s">
        <v>17</v>
      </c>
      <c r="E791" t="s">
        <v>23</v>
      </c>
      <c r="F791">
        <v>99.25</v>
      </c>
      <c r="G791">
        <v>2</v>
      </c>
      <c r="H791">
        <v>9.9250000000000007</v>
      </c>
      <c r="I791">
        <f t="shared" si="12"/>
        <v>198.5</v>
      </c>
      <c r="J791">
        <v>208.42500000000001</v>
      </c>
    </row>
    <row r="792" spans="1:10" x14ac:dyDescent="0.35">
      <c r="A792" t="s">
        <v>25</v>
      </c>
      <c r="B792" t="s">
        <v>20</v>
      </c>
      <c r="C792" t="s">
        <v>21</v>
      </c>
      <c r="D792" t="s">
        <v>13</v>
      </c>
      <c r="E792" t="s">
        <v>24</v>
      </c>
      <c r="F792">
        <v>26.67</v>
      </c>
      <c r="G792">
        <v>10</v>
      </c>
      <c r="H792">
        <v>13.335000000000001</v>
      </c>
      <c r="I792">
        <f t="shared" si="12"/>
        <v>266.70000000000005</v>
      </c>
      <c r="J792">
        <v>280.03500000000003</v>
      </c>
    </row>
    <row r="793" spans="1:10" x14ac:dyDescent="0.35">
      <c r="A793" t="s">
        <v>25</v>
      </c>
      <c r="B793" t="s">
        <v>11</v>
      </c>
      <c r="C793" t="s">
        <v>12</v>
      </c>
      <c r="D793" t="s">
        <v>13</v>
      </c>
      <c r="E793" t="s">
        <v>22</v>
      </c>
      <c r="F793">
        <v>10.130000000000001</v>
      </c>
      <c r="G793">
        <v>7</v>
      </c>
      <c r="H793">
        <v>3.5455000000000001</v>
      </c>
      <c r="I793">
        <f t="shared" si="12"/>
        <v>70.910000000000011</v>
      </c>
      <c r="J793">
        <v>74.455500000000015</v>
      </c>
    </row>
    <row r="794" spans="1:10" x14ac:dyDescent="0.35">
      <c r="A794" t="s">
        <v>25</v>
      </c>
      <c r="B794" t="s">
        <v>20</v>
      </c>
      <c r="C794" t="s">
        <v>21</v>
      </c>
      <c r="D794" t="s">
        <v>17</v>
      </c>
      <c r="E794" t="s">
        <v>22</v>
      </c>
      <c r="F794">
        <v>72.39</v>
      </c>
      <c r="G794">
        <v>2</v>
      </c>
      <c r="H794">
        <v>7.2389999999999999</v>
      </c>
      <c r="I794">
        <f t="shared" si="12"/>
        <v>144.78</v>
      </c>
      <c r="J794">
        <v>152.01900000000001</v>
      </c>
    </row>
    <row r="795" spans="1:10" x14ac:dyDescent="0.35">
      <c r="A795" t="s">
        <v>25</v>
      </c>
      <c r="B795" t="s">
        <v>11</v>
      </c>
      <c r="C795" t="s">
        <v>12</v>
      </c>
      <c r="D795" t="s">
        <v>17</v>
      </c>
      <c r="E795" t="s">
        <v>24</v>
      </c>
      <c r="F795">
        <v>85.91</v>
      </c>
      <c r="G795">
        <v>5</v>
      </c>
      <c r="H795">
        <v>214.77500000000001</v>
      </c>
      <c r="I795">
        <f t="shared" si="12"/>
        <v>429.54999999999995</v>
      </c>
      <c r="J795">
        <v>644.32499999999993</v>
      </c>
    </row>
    <row r="796" spans="1:10" x14ac:dyDescent="0.35">
      <c r="A796" t="s">
        <v>25</v>
      </c>
      <c r="B796" t="s">
        <v>20</v>
      </c>
      <c r="C796" t="s">
        <v>21</v>
      </c>
      <c r="D796" t="s">
        <v>13</v>
      </c>
      <c r="E796" t="s">
        <v>23</v>
      </c>
      <c r="F796">
        <v>81.31</v>
      </c>
      <c r="G796">
        <v>7</v>
      </c>
      <c r="H796">
        <v>284.58499999999998</v>
      </c>
      <c r="I796">
        <f t="shared" si="12"/>
        <v>569.17000000000007</v>
      </c>
      <c r="J796">
        <v>853.75500000000011</v>
      </c>
    </row>
    <row r="797" spans="1:10" x14ac:dyDescent="0.35">
      <c r="A797" t="s">
        <v>25</v>
      </c>
      <c r="B797" t="s">
        <v>20</v>
      </c>
      <c r="C797" t="s">
        <v>21</v>
      </c>
      <c r="D797" t="s">
        <v>17</v>
      </c>
      <c r="E797" t="s">
        <v>22</v>
      </c>
      <c r="F797">
        <v>60.3</v>
      </c>
      <c r="G797">
        <v>4</v>
      </c>
      <c r="H797">
        <v>12.06</v>
      </c>
      <c r="I797">
        <f t="shared" si="12"/>
        <v>241.2</v>
      </c>
      <c r="J797">
        <v>253.26</v>
      </c>
    </row>
    <row r="798" spans="1:10" x14ac:dyDescent="0.35">
      <c r="A798" t="s">
        <v>25</v>
      </c>
      <c r="B798" t="s">
        <v>15</v>
      </c>
      <c r="C798" t="s">
        <v>16</v>
      </c>
      <c r="D798" t="s">
        <v>17</v>
      </c>
      <c r="E798" t="s">
        <v>22</v>
      </c>
      <c r="F798">
        <v>31.77</v>
      </c>
      <c r="G798">
        <v>4</v>
      </c>
      <c r="H798">
        <v>6.3540000000000001</v>
      </c>
      <c r="I798">
        <f t="shared" si="12"/>
        <v>127.08</v>
      </c>
      <c r="J798">
        <v>133.434</v>
      </c>
    </row>
    <row r="799" spans="1:10" x14ac:dyDescent="0.35">
      <c r="A799" t="s">
        <v>25</v>
      </c>
      <c r="B799" t="s">
        <v>20</v>
      </c>
      <c r="C799" t="s">
        <v>21</v>
      </c>
      <c r="D799" t="s">
        <v>17</v>
      </c>
      <c r="E799" t="s">
        <v>14</v>
      </c>
      <c r="F799">
        <v>69.510000000000005</v>
      </c>
      <c r="G799">
        <v>2</v>
      </c>
      <c r="H799">
        <v>6.9509999999999996</v>
      </c>
      <c r="I799">
        <f t="shared" si="12"/>
        <v>139.02000000000001</v>
      </c>
      <c r="J799">
        <v>145.971</v>
      </c>
    </row>
    <row r="800" spans="1:10" x14ac:dyDescent="0.35">
      <c r="A800" t="s">
        <v>25</v>
      </c>
      <c r="B800" t="s">
        <v>15</v>
      </c>
      <c r="C800" t="s">
        <v>16</v>
      </c>
      <c r="D800" t="s">
        <v>17</v>
      </c>
      <c r="E800" t="s">
        <v>22</v>
      </c>
      <c r="F800">
        <v>27.22</v>
      </c>
      <c r="G800">
        <v>3</v>
      </c>
      <c r="H800">
        <v>4.0830000000000002</v>
      </c>
      <c r="I800">
        <f t="shared" si="12"/>
        <v>81.66</v>
      </c>
      <c r="J800">
        <v>85.742999999999995</v>
      </c>
    </row>
    <row r="801" spans="1:10" x14ac:dyDescent="0.35">
      <c r="A801" t="s">
        <v>25</v>
      </c>
      <c r="B801" t="s">
        <v>20</v>
      </c>
      <c r="C801" t="s">
        <v>21</v>
      </c>
      <c r="D801" t="s">
        <v>17</v>
      </c>
      <c r="E801" t="s">
        <v>24</v>
      </c>
      <c r="F801">
        <v>63.06</v>
      </c>
      <c r="G801">
        <v>3</v>
      </c>
      <c r="H801">
        <v>9.4589999999999996</v>
      </c>
      <c r="I801">
        <f t="shared" si="12"/>
        <v>189.18</v>
      </c>
      <c r="J801">
        <v>198.63900000000001</v>
      </c>
    </row>
    <row r="802" spans="1:10" x14ac:dyDescent="0.35">
      <c r="A802" t="s">
        <v>25</v>
      </c>
      <c r="B802" t="s">
        <v>11</v>
      </c>
      <c r="C802" t="s">
        <v>12</v>
      </c>
      <c r="D802" t="s">
        <v>17</v>
      </c>
      <c r="E802" t="s">
        <v>14</v>
      </c>
      <c r="F802">
        <v>51.71</v>
      </c>
      <c r="G802">
        <v>4</v>
      </c>
      <c r="H802">
        <v>10.342000000000001</v>
      </c>
      <c r="I802">
        <f t="shared" si="12"/>
        <v>206.84</v>
      </c>
      <c r="J802">
        <v>217.18200000000002</v>
      </c>
    </row>
    <row r="803" spans="1:10" x14ac:dyDescent="0.35">
      <c r="A803" t="s">
        <v>25</v>
      </c>
      <c r="B803" t="s">
        <v>15</v>
      </c>
      <c r="C803" t="s">
        <v>16</v>
      </c>
      <c r="D803" t="s">
        <v>17</v>
      </c>
      <c r="E803" t="s">
        <v>23</v>
      </c>
      <c r="F803">
        <v>59.61</v>
      </c>
      <c r="G803">
        <v>10</v>
      </c>
      <c r="H803">
        <v>29.805</v>
      </c>
      <c r="I803">
        <f t="shared" si="12"/>
        <v>596.1</v>
      </c>
      <c r="J803">
        <v>625.90499999999997</v>
      </c>
    </row>
    <row r="804" spans="1:10" x14ac:dyDescent="0.35">
      <c r="A804" t="s">
        <v>25</v>
      </c>
      <c r="B804" t="s">
        <v>11</v>
      </c>
      <c r="C804" t="s">
        <v>12</v>
      </c>
      <c r="D804" t="s">
        <v>17</v>
      </c>
      <c r="E804" t="s">
        <v>14</v>
      </c>
      <c r="F804">
        <v>14.62</v>
      </c>
      <c r="G804">
        <v>5</v>
      </c>
      <c r="H804">
        <v>3.6549999999999998</v>
      </c>
      <c r="I804">
        <f t="shared" si="12"/>
        <v>73.099999999999994</v>
      </c>
      <c r="J804">
        <v>76.754999999999995</v>
      </c>
    </row>
    <row r="805" spans="1:10" x14ac:dyDescent="0.35">
      <c r="A805" t="s">
        <v>25</v>
      </c>
      <c r="B805" t="s">
        <v>15</v>
      </c>
      <c r="C805" t="s">
        <v>16</v>
      </c>
      <c r="D805" t="s">
        <v>13</v>
      </c>
      <c r="E805" t="s">
        <v>14</v>
      </c>
      <c r="F805">
        <v>46.53</v>
      </c>
      <c r="G805">
        <v>6</v>
      </c>
      <c r="H805">
        <v>13.959</v>
      </c>
      <c r="I805">
        <f t="shared" si="12"/>
        <v>279.18</v>
      </c>
      <c r="J805">
        <v>293.13900000000001</v>
      </c>
    </row>
    <row r="806" spans="1:10" x14ac:dyDescent="0.35">
      <c r="A806" t="s">
        <v>25</v>
      </c>
      <c r="B806" t="s">
        <v>20</v>
      </c>
      <c r="C806" t="s">
        <v>21</v>
      </c>
      <c r="D806" t="s">
        <v>13</v>
      </c>
      <c r="E806" t="s">
        <v>24</v>
      </c>
      <c r="F806">
        <v>96.8</v>
      </c>
      <c r="G806">
        <v>3</v>
      </c>
      <c r="H806">
        <v>14.52</v>
      </c>
      <c r="I806">
        <f t="shared" si="12"/>
        <v>290.39999999999998</v>
      </c>
      <c r="J806">
        <v>304.91999999999996</v>
      </c>
    </row>
    <row r="807" spans="1:10" x14ac:dyDescent="0.35">
      <c r="A807" t="s">
        <v>25</v>
      </c>
      <c r="B807" t="s">
        <v>20</v>
      </c>
      <c r="C807" t="s">
        <v>21</v>
      </c>
      <c r="D807" t="s">
        <v>17</v>
      </c>
      <c r="E807" t="s">
        <v>14</v>
      </c>
      <c r="F807">
        <v>14.82</v>
      </c>
      <c r="G807">
        <v>3</v>
      </c>
      <c r="H807">
        <v>2.2229999999999999</v>
      </c>
      <c r="I807">
        <f t="shared" si="12"/>
        <v>44.46</v>
      </c>
      <c r="J807">
        <v>46.683</v>
      </c>
    </row>
    <row r="808" spans="1:10" x14ac:dyDescent="0.35">
      <c r="A808" t="s">
        <v>25</v>
      </c>
      <c r="B808" t="s">
        <v>11</v>
      </c>
      <c r="C808" t="s">
        <v>12</v>
      </c>
      <c r="D808" t="s">
        <v>17</v>
      </c>
      <c r="E808" t="s">
        <v>22</v>
      </c>
      <c r="F808">
        <v>52.2</v>
      </c>
      <c r="G808">
        <v>3</v>
      </c>
      <c r="H808">
        <v>7.83</v>
      </c>
      <c r="I808">
        <f t="shared" si="12"/>
        <v>156.60000000000002</v>
      </c>
      <c r="J808">
        <v>164.43000000000004</v>
      </c>
    </row>
    <row r="809" spans="1:10" x14ac:dyDescent="0.35">
      <c r="A809" t="s">
        <v>25</v>
      </c>
      <c r="B809" t="s">
        <v>15</v>
      </c>
      <c r="C809" t="s">
        <v>16</v>
      </c>
      <c r="D809" t="s">
        <v>17</v>
      </c>
      <c r="E809" t="s">
        <v>18</v>
      </c>
      <c r="F809">
        <v>83.08</v>
      </c>
      <c r="G809">
        <v>1</v>
      </c>
      <c r="H809">
        <v>4.1539999999999999</v>
      </c>
      <c r="I809">
        <f t="shared" si="12"/>
        <v>83.08</v>
      </c>
      <c r="J809">
        <v>87.233999999999995</v>
      </c>
    </row>
    <row r="810" spans="1:10" x14ac:dyDescent="0.35">
      <c r="A810" t="s">
        <v>25</v>
      </c>
      <c r="B810" t="s">
        <v>15</v>
      </c>
      <c r="C810" t="s">
        <v>16</v>
      </c>
      <c r="D810" t="s">
        <v>17</v>
      </c>
      <c r="E810" t="s">
        <v>22</v>
      </c>
      <c r="F810">
        <v>77.56</v>
      </c>
      <c r="G810">
        <v>10</v>
      </c>
      <c r="H810">
        <v>38.78</v>
      </c>
      <c r="I810">
        <f t="shared" si="12"/>
        <v>775.6</v>
      </c>
      <c r="J810">
        <v>814.38</v>
      </c>
    </row>
    <row r="811" spans="1:10" x14ac:dyDescent="0.35">
      <c r="A811" t="s">
        <v>25</v>
      </c>
      <c r="B811" t="s">
        <v>20</v>
      </c>
      <c r="C811" t="s">
        <v>21</v>
      </c>
      <c r="D811" t="s">
        <v>17</v>
      </c>
      <c r="E811" t="s">
        <v>19</v>
      </c>
      <c r="F811">
        <v>31.75</v>
      </c>
      <c r="G811">
        <v>4</v>
      </c>
      <c r="H811">
        <v>6.35</v>
      </c>
      <c r="I811">
        <f t="shared" si="12"/>
        <v>127</v>
      </c>
      <c r="J811">
        <v>133.35</v>
      </c>
    </row>
    <row r="812" spans="1:10" x14ac:dyDescent="0.35">
      <c r="A812" t="s">
        <v>25</v>
      </c>
      <c r="B812" t="s">
        <v>11</v>
      </c>
      <c r="C812" t="s">
        <v>12</v>
      </c>
      <c r="D812" t="s">
        <v>17</v>
      </c>
      <c r="E812" t="s">
        <v>23</v>
      </c>
      <c r="F812">
        <v>30.61</v>
      </c>
      <c r="G812">
        <v>1</v>
      </c>
      <c r="H812">
        <v>1.5305</v>
      </c>
      <c r="I812">
        <f t="shared" si="12"/>
        <v>30.61</v>
      </c>
      <c r="J812">
        <v>32.140500000000003</v>
      </c>
    </row>
    <row r="813" spans="1:10" x14ac:dyDescent="0.35">
      <c r="A813" t="s">
        <v>25</v>
      </c>
      <c r="B813" t="s">
        <v>20</v>
      </c>
      <c r="C813" t="s">
        <v>21</v>
      </c>
      <c r="D813" t="s">
        <v>13</v>
      </c>
      <c r="E813" t="s">
        <v>22</v>
      </c>
      <c r="F813">
        <v>57.89</v>
      </c>
      <c r="G813">
        <v>2</v>
      </c>
      <c r="H813">
        <v>5.7889999999999997</v>
      </c>
      <c r="I813">
        <f t="shared" si="12"/>
        <v>115.78</v>
      </c>
      <c r="J813">
        <v>121.569</v>
      </c>
    </row>
    <row r="814" spans="1:10" x14ac:dyDescent="0.35">
      <c r="A814" t="s">
        <v>25</v>
      </c>
      <c r="B814" t="s">
        <v>20</v>
      </c>
      <c r="C814" t="s">
        <v>21</v>
      </c>
      <c r="D814" t="s">
        <v>13</v>
      </c>
      <c r="E814" t="s">
        <v>23</v>
      </c>
      <c r="F814">
        <v>93.22</v>
      </c>
      <c r="G814">
        <v>3</v>
      </c>
      <c r="H814">
        <v>13.983000000000001</v>
      </c>
      <c r="I814">
        <f t="shared" si="12"/>
        <v>279.65999999999997</v>
      </c>
      <c r="J814">
        <v>293.64299999999997</v>
      </c>
    </row>
    <row r="815" spans="1:10" x14ac:dyDescent="0.35">
      <c r="A815" t="s">
        <v>25</v>
      </c>
      <c r="B815" t="s">
        <v>15</v>
      </c>
      <c r="C815" t="s">
        <v>16</v>
      </c>
      <c r="D815" t="s">
        <v>13</v>
      </c>
      <c r="E815" t="s">
        <v>24</v>
      </c>
      <c r="F815">
        <v>80.930000000000007</v>
      </c>
      <c r="G815">
        <v>1</v>
      </c>
      <c r="H815">
        <v>4.0465</v>
      </c>
      <c r="I815">
        <f t="shared" si="12"/>
        <v>80.930000000000007</v>
      </c>
      <c r="J815">
        <v>84.976500000000001</v>
      </c>
    </row>
    <row r="816" spans="1:10" x14ac:dyDescent="0.35">
      <c r="A816" t="s">
        <v>25</v>
      </c>
      <c r="B816" t="s">
        <v>11</v>
      </c>
      <c r="C816" t="s">
        <v>12</v>
      </c>
      <c r="D816" t="s">
        <v>13</v>
      </c>
      <c r="E816" t="s">
        <v>22</v>
      </c>
      <c r="F816">
        <v>67.45</v>
      </c>
      <c r="G816">
        <v>10</v>
      </c>
      <c r="H816">
        <v>33.725000000000001</v>
      </c>
      <c r="I816">
        <f t="shared" si="12"/>
        <v>674.5</v>
      </c>
      <c r="J816">
        <v>708.22500000000002</v>
      </c>
    </row>
    <row r="817" spans="1:10" x14ac:dyDescent="0.35">
      <c r="A817" t="s">
        <v>25</v>
      </c>
      <c r="B817" t="s">
        <v>20</v>
      </c>
      <c r="C817" t="s">
        <v>21</v>
      </c>
      <c r="D817" t="s">
        <v>13</v>
      </c>
      <c r="E817" t="s">
        <v>24</v>
      </c>
      <c r="F817">
        <v>72.599999999999994</v>
      </c>
      <c r="G817">
        <v>6</v>
      </c>
      <c r="H817">
        <v>21.78</v>
      </c>
      <c r="I817">
        <f t="shared" si="12"/>
        <v>435.59999999999997</v>
      </c>
      <c r="J817">
        <v>457.38</v>
      </c>
    </row>
    <row r="818" spans="1:10" x14ac:dyDescent="0.35">
      <c r="A818" t="s">
        <v>25</v>
      </c>
      <c r="B818" t="s">
        <v>15</v>
      </c>
      <c r="C818" t="s">
        <v>16</v>
      </c>
      <c r="D818" t="s">
        <v>13</v>
      </c>
      <c r="E818" t="s">
        <v>18</v>
      </c>
      <c r="F818">
        <v>87.91</v>
      </c>
      <c r="G818">
        <v>5</v>
      </c>
      <c r="H818">
        <v>219.77500000000001</v>
      </c>
      <c r="I818">
        <f t="shared" si="12"/>
        <v>439.54999999999995</v>
      </c>
      <c r="J818">
        <v>659.32499999999993</v>
      </c>
    </row>
    <row r="819" spans="1:10" x14ac:dyDescent="0.35">
      <c r="A819" t="s">
        <v>25</v>
      </c>
      <c r="B819" t="s">
        <v>11</v>
      </c>
      <c r="C819" t="s">
        <v>12</v>
      </c>
      <c r="D819" t="s">
        <v>13</v>
      </c>
      <c r="E819" t="s">
        <v>22</v>
      </c>
      <c r="F819">
        <v>98.53</v>
      </c>
      <c r="G819">
        <v>6</v>
      </c>
      <c r="H819">
        <v>29.559000000000001</v>
      </c>
      <c r="I819">
        <f t="shared" si="12"/>
        <v>591.18000000000006</v>
      </c>
      <c r="J819">
        <v>620.73900000000003</v>
      </c>
    </row>
    <row r="820" spans="1:10" x14ac:dyDescent="0.35">
      <c r="A820" t="s">
        <v>25</v>
      </c>
      <c r="B820" t="s">
        <v>20</v>
      </c>
      <c r="C820" t="s">
        <v>21</v>
      </c>
      <c r="D820" t="s">
        <v>13</v>
      </c>
      <c r="E820" t="s">
        <v>23</v>
      </c>
      <c r="F820">
        <v>91.35</v>
      </c>
      <c r="G820">
        <v>1</v>
      </c>
      <c r="H820">
        <v>4.5674999999999999</v>
      </c>
      <c r="I820">
        <f t="shared" si="12"/>
        <v>91.35</v>
      </c>
      <c r="J820">
        <v>95.91749999999999</v>
      </c>
    </row>
    <row r="821" spans="1:10" x14ac:dyDescent="0.35">
      <c r="A821" t="s">
        <v>25</v>
      </c>
      <c r="B821" t="s">
        <v>11</v>
      </c>
      <c r="C821" t="s">
        <v>12</v>
      </c>
      <c r="D821" t="s">
        <v>17</v>
      </c>
      <c r="E821" t="s">
        <v>24</v>
      </c>
      <c r="F821">
        <v>60.87</v>
      </c>
      <c r="G821">
        <v>2</v>
      </c>
      <c r="H821">
        <v>6.0869999999999997</v>
      </c>
      <c r="I821">
        <f t="shared" si="12"/>
        <v>121.74</v>
      </c>
      <c r="J821">
        <v>127.827</v>
      </c>
    </row>
    <row r="822" spans="1:10" x14ac:dyDescent="0.35">
      <c r="A822" t="s">
        <v>25</v>
      </c>
      <c r="B822" t="s">
        <v>20</v>
      </c>
      <c r="C822" t="s">
        <v>21</v>
      </c>
      <c r="D822" t="s">
        <v>13</v>
      </c>
      <c r="E822" t="s">
        <v>14</v>
      </c>
      <c r="F822">
        <v>82.58</v>
      </c>
      <c r="G822">
        <v>10</v>
      </c>
      <c r="H822">
        <v>41.29</v>
      </c>
      <c r="I822">
        <f t="shared" si="12"/>
        <v>825.8</v>
      </c>
      <c r="J822">
        <v>867.08999999999992</v>
      </c>
    </row>
    <row r="823" spans="1:10" x14ac:dyDescent="0.35">
      <c r="A823" t="s">
        <v>25</v>
      </c>
      <c r="B823" t="s">
        <v>11</v>
      </c>
      <c r="C823" t="s">
        <v>12</v>
      </c>
      <c r="D823" t="s">
        <v>13</v>
      </c>
      <c r="E823" t="s">
        <v>19</v>
      </c>
      <c r="F823">
        <v>53.3</v>
      </c>
      <c r="G823">
        <v>3</v>
      </c>
      <c r="H823">
        <v>7.9950000000000001</v>
      </c>
      <c r="I823">
        <f t="shared" si="12"/>
        <v>159.89999999999998</v>
      </c>
      <c r="J823">
        <v>167.89499999999998</v>
      </c>
    </row>
    <row r="824" spans="1:10" x14ac:dyDescent="0.35">
      <c r="A824" t="s">
        <v>25</v>
      </c>
      <c r="B824" t="s">
        <v>11</v>
      </c>
      <c r="C824" t="s">
        <v>12</v>
      </c>
      <c r="D824" t="s">
        <v>17</v>
      </c>
      <c r="E824" t="s">
        <v>24</v>
      </c>
      <c r="F824">
        <v>64.19</v>
      </c>
      <c r="G824">
        <v>10</v>
      </c>
      <c r="H824">
        <v>32.094999999999999</v>
      </c>
      <c r="I824">
        <f t="shared" si="12"/>
        <v>641.9</v>
      </c>
      <c r="J824">
        <v>673.995</v>
      </c>
    </row>
    <row r="825" spans="1:10" x14ac:dyDescent="0.35">
      <c r="A825" t="s">
        <v>25</v>
      </c>
      <c r="B825" t="s">
        <v>11</v>
      </c>
      <c r="C825" t="s">
        <v>12</v>
      </c>
      <c r="D825" t="s">
        <v>17</v>
      </c>
      <c r="E825" t="s">
        <v>18</v>
      </c>
      <c r="F825">
        <v>78.31</v>
      </c>
      <c r="G825">
        <v>3</v>
      </c>
      <c r="H825">
        <v>11.746499999999999</v>
      </c>
      <c r="I825">
        <f t="shared" si="12"/>
        <v>234.93</v>
      </c>
      <c r="J825">
        <v>246.6765</v>
      </c>
    </row>
    <row r="826" spans="1:10" x14ac:dyDescent="0.35">
      <c r="A826" t="s">
        <v>25</v>
      </c>
      <c r="B826" t="s">
        <v>11</v>
      </c>
      <c r="C826" t="s">
        <v>12</v>
      </c>
      <c r="D826" t="s">
        <v>13</v>
      </c>
      <c r="E826" t="s">
        <v>22</v>
      </c>
      <c r="F826">
        <v>83.77</v>
      </c>
      <c r="G826">
        <v>2</v>
      </c>
      <c r="H826">
        <v>8.3770000000000007</v>
      </c>
      <c r="I826">
        <f t="shared" si="12"/>
        <v>167.54</v>
      </c>
      <c r="J826">
        <v>175.917</v>
      </c>
    </row>
    <row r="827" spans="1:10" x14ac:dyDescent="0.35">
      <c r="A827" t="s">
        <v>25</v>
      </c>
      <c r="B827" t="s">
        <v>20</v>
      </c>
      <c r="C827" t="s">
        <v>21</v>
      </c>
      <c r="D827" t="s">
        <v>17</v>
      </c>
      <c r="E827" t="s">
        <v>19</v>
      </c>
      <c r="F827">
        <v>99.7</v>
      </c>
      <c r="G827">
        <v>3</v>
      </c>
      <c r="H827">
        <v>14.955</v>
      </c>
      <c r="I827">
        <f t="shared" si="12"/>
        <v>299.10000000000002</v>
      </c>
      <c r="J827">
        <v>314.05500000000001</v>
      </c>
    </row>
    <row r="828" spans="1:10" x14ac:dyDescent="0.35">
      <c r="A828" t="s">
        <v>25</v>
      </c>
      <c r="B828" t="s">
        <v>20</v>
      </c>
      <c r="C828" t="s">
        <v>21</v>
      </c>
      <c r="D828" t="s">
        <v>13</v>
      </c>
      <c r="E828" t="s">
        <v>22</v>
      </c>
      <c r="F828">
        <v>79.91</v>
      </c>
      <c r="G828">
        <v>3</v>
      </c>
      <c r="H828">
        <v>11.986499999999999</v>
      </c>
      <c r="I828">
        <f t="shared" si="12"/>
        <v>239.73</v>
      </c>
      <c r="J828">
        <v>251.7165</v>
      </c>
    </row>
    <row r="829" spans="1:10" x14ac:dyDescent="0.35">
      <c r="A829" t="s">
        <v>25</v>
      </c>
      <c r="B829" t="s">
        <v>20</v>
      </c>
      <c r="C829" t="s">
        <v>21</v>
      </c>
      <c r="D829" t="s">
        <v>13</v>
      </c>
      <c r="E829" t="s">
        <v>14</v>
      </c>
      <c r="F829">
        <v>66.47</v>
      </c>
      <c r="G829">
        <v>10</v>
      </c>
      <c r="H829">
        <v>33.234999999999999</v>
      </c>
      <c r="I829">
        <f t="shared" si="12"/>
        <v>664.7</v>
      </c>
      <c r="J829">
        <v>697.93500000000006</v>
      </c>
    </row>
    <row r="830" spans="1:10" x14ac:dyDescent="0.35">
      <c r="A830" t="s">
        <v>25</v>
      </c>
      <c r="B830" t="s">
        <v>11</v>
      </c>
      <c r="C830" t="s">
        <v>12</v>
      </c>
      <c r="D830" t="s">
        <v>17</v>
      </c>
      <c r="E830" t="s">
        <v>14</v>
      </c>
      <c r="F830">
        <v>28.95</v>
      </c>
      <c r="G830">
        <v>7</v>
      </c>
      <c r="H830">
        <v>10.1325</v>
      </c>
      <c r="I830">
        <f t="shared" si="12"/>
        <v>202.65</v>
      </c>
      <c r="J830">
        <v>212.7825</v>
      </c>
    </row>
    <row r="831" spans="1:10" x14ac:dyDescent="0.35">
      <c r="A831" t="s">
        <v>25</v>
      </c>
      <c r="B831" t="s">
        <v>20</v>
      </c>
      <c r="C831" t="s">
        <v>21</v>
      </c>
      <c r="D831" t="s">
        <v>17</v>
      </c>
      <c r="E831" t="s">
        <v>23</v>
      </c>
      <c r="F831">
        <v>52.42</v>
      </c>
      <c r="G831">
        <v>3</v>
      </c>
      <c r="H831">
        <v>7.8630000000000004</v>
      </c>
      <c r="I831">
        <f t="shared" si="12"/>
        <v>157.26</v>
      </c>
      <c r="J831">
        <v>165.12299999999999</v>
      </c>
    </row>
    <row r="832" spans="1:10" x14ac:dyDescent="0.35">
      <c r="A832" t="s">
        <v>25</v>
      </c>
      <c r="B832" t="s">
        <v>20</v>
      </c>
      <c r="C832" t="s">
        <v>21</v>
      </c>
      <c r="D832" t="s">
        <v>13</v>
      </c>
      <c r="E832" t="s">
        <v>18</v>
      </c>
      <c r="F832">
        <v>55.67</v>
      </c>
      <c r="G832">
        <v>2</v>
      </c>
      <c r="H832">
        <v>5.5670000000000002</v>
      </c>
      <c r="I832">
        <f t="shared" si="12"/>
        <v>111.34</v>
      </c>
      <c r="J832">
        <v>116.90700000000001</v>
      </c>
    </row>
    <row r="833" spans="1:10" x14ac:dyDescent="0.35">
      <c r="A833" t="s">
        <v>25</v>
      </c>
      <c r="B833" t="s">
        <v>15</v>
      </c>
      <c r="C833" t="s">
        <v>16</v>
      </c>
      <c r="D833" t="s">
        <v>13</v>
      </c>
      <c r="E833" t="s">
        <v>18</v>
      </c>
      <c r="F833">
        <v>12.05</v>
      </c>
      <c r="G833">
        <v>5</v>
      </c>
      <c r="H833">
        <v>3.0125000000000002</v>
      </c>
      <c r="I833">
        <f t="shared" si="12"/>
        <v>60.25</v>
      </c>
      <c r="J833">
        <v>63.262500000000003</v>
      </c>
    </row>
    <row r="834" spans="1:10" x14ac:dyDescent="0.35">
      <c r="A834" t="s">
        <v>25</v>
      </c>
      <c r="B834" t="s">
        <v>11</v>
      </c>
      <c r="C834" t="s">
        <v>12</v>
      </c>
      <c r="D834" t="s">
        <v>13</v>
      </c>
      <c r="E834" t="s">
        <v>19</v>
      </c>
      <c r="F834">
        <v>19.36</v>
      </c>
      <c r="G834">
        <v>9</v>
      </c>
      <c r="H834">
        <v>8.7119999999999997</v>
      </c>
      <c r="I834">
        <f t="shared" si="12"/>
        <v>174.24</v>
      </c>
      <c r="J834">
        <v>182.952</v>
      </c>
    </row>
    <row r="835" spans="1:10" x14ac:dyDescent="0.35">
      <c r="A835" t="s">
        <v>25</v>
      </c>
      <c r="B835" t="s">
        <v>15</v>
      </c>
      <c r="C835" t="s">
        <v>16</v>
      </c>
      <c r="D835" t="s">
        <v>17</v>
      </c>
      <c r="E835" t="s">
        <v>14</v>
      </c>
      <c r="F835">
        <v>70.209999999999994</v>
      </c>
      <c r="G835">
        <v>6</v>
      </c>
      <c r="H835">
        <v>21.062999999999999</v>
      </c>
      <c r="I835">
        <f t="shared" ref="I835:I898" si="13">F835*G835</f>
        <v>421.26</v>
      </c>
      <c r="J835">
        <v>442.32299999999998</v>
      </c>
    </row>
    <row r="836" spans="1:10" x14ac:dyDescent="0.35">
      <c r="A836" t="s">
        <v>25</v>
      </c>
      <c r="B836" t="s">
        <v>20</v>
      </c>
      <c r="C836" t="s">
        <v>21</v>
      </c>
      <c r="D836" t="s">
        <v>13</v>
      </c>
      <c r="E836" t="s">
        <v>23</v>
      </c>
      <c r="F836">
        <v>33.630000000000003</v>
      </c>
      <c r="G836">
        <v>1</v>
      </c>
      <c r="H836">
        <v>1.6815</v>
      </c>
      <c r="I836">
        <f t="shared" si="13"/>
        <v>33.630000000000003</v>
      </c>
      <c r="J836">
        <v>35.311500000000002</v>
      </c>
    </row>
    <row r="837" spans="1:10" x14ac:dyDescent="0.35">
      <c r="A837" t="s">
        <v>25</v>
      </c>
      <c r="B837" t="s">
        <v>15</v>
      </c>
      <c r="C837" t="s">
        <v>16</v>
      </c>
      <c r="D837" t="s">
        <v>17</v>
      </c>
      <c r="E837" t="s">
        <v>18</v>
      </c>
      <c r="F837">
        <v>24.74</v>
      </c>
      <c r="G837">
        <v>10</v>
      </c>
      <c r="H837">
        <v>12.37</v>
      </c>
      <c r="I837">
        <f t="shared" si="13"/>
        <v>247.39999999999998</v>
      </c>
      <c r="J837">
        <v>259.77</v>
      </c>
    </row>
    <row r="838" spans="1:10" x14ac:dyDescent="0.35">
      <c r="A838" t="s">
        <v>25</v>
      </c>
      <c r="B838" t="s">
        <v>20</v>
      </c>
      <c r="C838" t="s">
        <v>21</v>
      </c>
      <c r="D838" t="s">
        <v>17</v>
      </c>
      <c r="E838" t="s">
        <v>18</v>
      </c>
      <c r="F838">
        <v>75.66</v>
      </c>
      <c r="G838">
        <v>5</v>
      </c>
      <c r="H838">
        <v>18.914999999999999</v>
      </c>
      <c r="I838">
        <f t="shared" si="13"/>
        <v>378.29999999999995</v>
      </c>
      <c r="J838">
        <v>397.21499999999997</v>
      </c>
    </row>
    <row r="839" spans="1:10" x14ac:dyDescent="0.35">
      <c r="A839" t="s">
        <v>25</v>
      </c>
      <c r="B839" t="s">
        <v>11</v>
      </c>
      <c r="C839" t="s">
        <v>12</v>
      </c>
      <c r="D839" t="s">
        <v>13</v>
      </c>
      <c r="E839" t="s">
        <v>19</v>
      </c>
      <c r="F839">
        <v>72.78</v>
      </c>
      <c r="G839">
        <v>10</v>
      </c>
      <c r="H839">
        <v>36.39</v>
      </c>
      <c r="I839">
        <f t="shared" si="13"/>
        <v>727.8</v>
      </c>
      <c r="J839">
        <v>764.18999999999994</v>
      </c>
    </row>
    <row r="840" spans="1:10" x14ac:dyDescent="0.35">
      <c r="A840" t="s">
        <v>25</v>
      </c>
      <c r="B840" t="s">
        <v>20</v>
      </c>
      <c r="C840" t="s">
        <v>21</v>
      </c>
      <c r="D840" t="s">
        <v>13</v>
      </c>
      <c r="E840" t="s">
        <v>24</v>
      </c>
      <c r="F840">
        <v>37.32</v>
      </c>
      <c r="G840">
        <v>9</v>
      </c>
      <c r="H840">
        <v>16.794</v>
      </c>
      <c r="I840">
        <f t="shared" si="13"/>
        <v>335.88</v>
      </c>
      <c r="J840">
        <v>352.67399999999998</v>
      </c>
    </row>
    <row r="841" spans="1:10" x14ac:dyDescent="0.35">
      <c r="A841" t="s">
        <v>25</v>
      </c>
      <c r="B841" t="s">
        <v>20</v>
      </c>
      <c r="C841" t="s">
        <v>21</v>
      </c>
      <c r="D841" t="s">
        <v>13</v>
      </c>
      <c r="E841" t="s">
        <v>23</v>
      </c>
      <c r="F841">
        <v>60.18</v>
      </c>
      <c r="G841">
        <v>4</v>
      </c>
      <c r="H841">
        <v>12.036</v>
      </c>
      <c r="I841">
        <f t="shared" si="13"/>
        <v>240.72</v>
      </c>
      <c r="J841">
        <v>252.756</v>
      </c>
    </row>
    <row r="842" spans="1:10" x14ac:dyDescent="0.35">
      <c r="A842" t="s">
        <v>25</v>
      </c>
      <c r="B842" t="s">
        <v>11</v>
      </c>
      <c r="C842" t="s">
        <v>12</v>
      </c>
      <c r="D842" t="s">
        <v>13</v>
      </c>
      <c r="E842" t="s">
        <v>23</v>
      </c>
      <c r="F842">
        <v>55.45</v>
      </c>
      <c r="G842">
        <v>1</v>
      </c>
      <c r="H842">
        <v>2.7725</v>
      </c>
      <c r="I842">
        <f t="shared" si="13"/>
        <v>55.45</v>
      </c>
      <c r="J842">
        <v>58.222500000000004</v>
      </c>
    </row>
    <row r="843" spans="1:10" x14ac:dyDescent="0.35">
      <c r="A843" t="s">
        <v>25</v>
      </c>
      <c r="B843" t="s">
        <v>15</v>
      </c>
      <c r="C843" t="s">
        <v>16</v>
      </c>
      <c r="D843" t="s">
        <v>13</v>
      </c>
      <c r="E843" t="s">
        <v>24</v>
      </c>
      <c r="F843">
        <v>17.14</v>
      </c>
      <c r="G843">
        <v>7</v>
      </c>
      <c r="H843">
        <v>5.9989999999999997</v>
      </c>
      <c r="I843">
        <f t="shared" si="13"/>
        <v>119.98</v>
      </c>
      <c r="J843">
        <v>125.979</v>
      </c>
    </row>
    <row r="844" spans="1:10" x14ac:dyDescent="0.35">
      <c r="A844" t="s">
        <v>25</v>
      </c>
      <c r="B844" t="s">
        <v>20</v>
      </c>
      <c r="C844" t="s">
        <v>21</v>
      </c>
      <c r="D844" t="s">
        <v>13</v>
      </c>
      <c r="E844" t="s">
        <v>22</v>
      </c>
      <c r="F844">
        <v>57.74</v>
      </c>
      <c r="G844">
        <v>3</v>
      </c>
      <c r="H844">
        <v>8.6609999999999996</v>
      </c>
      <c r="I844">
        <f t="shared" si="13"/>
        <v>173.22</v>
      </c>
      <c r="J844">
        <v>181.881</v>
      </c>
    </row>
    <row r="845" spans="1:10" x14ac:dyDescent="0.35">
      <c r="A845" t="s">
        <v>25</v>
      </c>
      <c r="B845" t="s">
        <v>11</v>
      </c>
      <c r="C845" t="s">
        <v>12</v>
      </c>
      <c r="D845" t="s">
        <v>13</v>
      </c>
      <c r="E845" t="s">
        <v>23</v>
      </c>
      <c r="F845">
        <v>56.04</v>
      </c>
      <c r="G845">
        <v>10</v>
      </c>
      <c r="H845">
        <v>28.02</v>
      </c>
      <c r="I845">
        <f t="shared" si="13"/>
        <v>560.4</v>
      </c>
      <c r="J845">
        <v>588.41999999999996</v>
      </c>
    </row>
    <row r="846" spans="1:10" x14ac:dyDescent="0.35">
      <c r="A846" t="s">
        <v>25</v>
      </c>
      <c r="B846" t="s">
        <v>20</v>
      </c>
      <c r="C846" t="s">
        <v>21</v>
      </c>
      <c r="D846" t="s">
        <v>13</v>
      </c>
      <c r="E846" t="s">
        <v>22</v>
      </c>
      <c r="F846">
        <v>93.4</v>
      </c>
      <c r="G846">
        <v>2</v>
      </c>
      <c r="H846">
        <v>9.34</v>
      </c>
      <c r="I846">
        <f t="shared" si="13"/>
        <v>186.8</v>
      </c>
      <c r="J846">
        <v>196.14000000000001</v>
      </c>
    </row>
    <row r="847" spans="1:10" x14ac:dyDescent="0.35">
      <c r="A847" t="s">
        <v>25</v>
      </c>
      <c r="B847" t="s">
        <v>15</v>
      </c>
      <c r="C847" t="s">
        <v>16</v>
      </c>
      <c r="D847" t="s">
        <v>17</v>
      </c>
      <c r="E847" t="s">
        <v>14</v>
      </c>
      <c r="F847">
        <v>33.64</v>
      </c>
      <c r="G847">
        <v>8</v>
      </c>
      <c r="H847">
        <v>13.456</v>
      </c>
      <c r="I847">
        <f t="shared" si="13"/>
        <v>269.12</v>
      </c>
      <c r="J847">
        <v>282.57600000000002</v>
      </c>
    </row>
    <row r="848" spans="1:10" x14ac:dyDescent="0.35">
      <c r="A848" t="s">
        <v>25</v>
      </c>
      <c r="B848" t="s">
        <v>20</v>
      </c>
      <c r="C848" t="s">
        <v>21</v>
      </c>
      <c r="D848" t="s">
        <v>13</v>
      </c>
      <c r="E848" t="s">
        <v>23</v>
      </c>
      <c r="F848">
        <v>83.77</v>
      </c>
      <c r="G848">
        <v>2</v>
      </c>
      <c r="H848">
        <v>8.3770000000000007</v>
      </c>
      <c r="I848">
        <f t="shared" si="13"/>
        <v>167.54</v>
      </c>
      <c r="J848">
        <v>175.917</v>
      </c>
    </row>
    <row r="849" spans="1:10" x14ac:dyDescent="0.35">
      <c r="A849" t="s">
        <v>25</v>
      </c>
      <c r="B849" t="s">
        <v>15</v>
      </c>
      <c r="C849" t="s">
        <v>16</v>
      </c>
      <c r="D849" t="s">
        <v>17</v>
      </c>
      <c r="E849" t="s">
        <v>14</v>
      </c>
      <c r="F849">
        <v>58.95</v>
      </c>
      <c r="G849">
        <v>10</v>
      </c>
      <c r="H849">
        <v>29.475000000000001</v>
      </c>
      <c r="I849">
        <f t="shared" si="13"/>
        <v>589.5</v>
      </c>
      <c r="J849">
        <v>618.97500000000002</v>
      </c>
    </row>
    <row r="850" spans="1:10" x14ac:dyDescent="0.35">
      <c r="A850" t="s">
        <v>25</v>
      </c>
      <c r="B850" t="s">
        <v>11</v>
      </c>
      <c r="C850" t="s">
        <v>12</v>
      </c>
      <c r="D850" t="s">
        <v>13</v>
      </c>
      <c r="E850" t="s">
        <v>22</v>
      </c>
      <c r="F850">
        <v>48.5</v>
      </c>
      <c r="G850">
        <v>6</v>
      </c>
      <c r="H850">
        <v>14.55</v>
      </c>
      <c r="I850">
        <f t="shared" si="13"/>
        <v>291</v>
      </c>
      <c r="J850">
        <v>305.55</v>
      </c>
    </row>
    <row r="851" spans="1:10" x14ac:dyDescent="0.35">
      <c r="A851" t="s">
        <v>25</v>
      </c>
      <c r="B851" t="s">
        <v>11</v>
      </c>
      <c r="C851" t="s">
        <v>12</v>
      </c>
      <c r="D851" t="s">
        <v>13</v>
      </c>
      <c r="E851" t="s">
        <v>23</v>
      </c>
      <c r="F851">
        <v>21.48</v>
      </c>
      <c r="G851">
        <v>2</v>
      </c>
      <c r="H851">
        <v>2.1480000000000001</v>
      </c>
      <c r="I851">
        <f t="shared" si="13"/>
        <v>42.96</v>
      </c>
      <c r="J851">
        <v>45.108000000000004</v>
      </c>
    </row>
    <row r="852" spans="1:10" x14ac:dyDescent="0.35">
      <c r="A852" t="s">
        <v>25</v>
      </c>
      <c r="B852" t="s">
        <v>11</v>
      </c>
      <c r="C852" t="s">
        <v>12</v>
      </c>
      <c r="D852" t="s">
        <v>13</v>
      </c>
      <c r="E852" t="s">
        <v>19</v>
      </c>
      <c r="F852">
        <v>63.56</v>
      </c>
      <c r="G852">
        <v>10</v>
      </c>
      <c r="H852">
        <v>31.78</v>
      </c>
      <c r="I852">
        <f t="shared" si="13"/>
        <v>635.6</v>
      </c>
      <c r="J852">
        <v>667.38</v>
      </c>
    </row>
    <row r="853" spans="1:10" x14ac:dyDescent="0.35">
      <c r="A853" t="s">
        <v>25</v>
      </c>
      <c r="B853" t="s">
        <v>15</v>
      </c>
      <c r="C853" t="s">
        <v>16</v>
      </c>
      <c r="D853" t="s">
        <v>13</v>
      </c>
      <c r="E853" t="s">
        <v>24</v>
      </c>
      <c r="F853">
        <v>72.88</v>
      </c>
      <c r="G853">
        <v>2</v>
      </c>
      <c r="H853">
        <v>7.2880000000000003</v>
      </c>
      <c r="I853">
        <f t="shared" si="13"/>
        <v>145.76</v>
      </c>
      <c r="J853">
        <v>153.048</v>
      </c>
    </row>
    <row r="854" spans="1:10" x14ac:dyDescent="0.35">
      <c r="A854" t="s">
        <v>25</v>
      </c>
      <c r="B854" t="s">
        <v>15</v>
      </c>
      <c r="C854" t="s">
        <v>16</v>
      </c>
      <c r="D854" t="s">
        <v>13</v>
      </c>
      <c r="E854" t="s">
        <v>22</v>
      </c>
      <c r="F854">
        <v>55.04</v>
      </c>
      <c r="G854">
        <v>7</v>
      </c>
      <c r="H854">
        <v>19.263999999999999</v>
      </c>
      <c r="I854">
        <f t="shared" si="13"/>
        <v>385.28</v>
      </c>
      <c r="J854">
        <v>404.54399999999998</v>
      </c>
    </row>
    <row r="855" spans="1:10" x14ac:dyDescent="0.35">
      <c r="A855" t="s">
        <v>25</v>
      </c>
      <c r="B855" t="s">
        <v>11</v>
      </c>
      <c r="C855" t="s">
        <v>12</v>
      </c>
      <c r="D855" t="s">
        <v>13</v>
      </c>
      <c r="E855" t="s">
        <v>14</v>
      </c>
      <c r="F855">
        <v>48.63</v>
      </c>
      <c r="G855">
        <v>10</v>
      </c>
      <c r="H855">
        <v>24.315000000000001</v>
      </c>
      <c r="I855">
        <f t="shared" si="13"/>
        <v>486.3</v>
      </c>
      <c r="J855">
        <v>510.61500000000001</v>
      </c>
    </row>
    <row r="856" spans="1:10" x14ac:dyDescent="0.35">
      <c r="A856" t="s">
        <v>25</v>
      </c>
      <c r="B856" t="s">
        <v>20</v>
      </c>
      <c r="C856" t="s">
        <v>21</v>
      </c>
      <c r="D856" t="s">
        <v>17</v>
      </c>
      <c r="E856" t="s">
        <v>19</v>
      </c>
      <c r="F856">
        <v>62.19</v>
      </c>
      <c r="G856">
        <v>4</v>
      </c>
      <c r="H856">
        <v>12.438000000000001</v>
      </c>
      <c r="I856">
        <f t="shared" si="13"/>
        <v>248.76</v>
      </c>
      <c r="J856">
        <v>261.19799999999998</v>
      </c>
    </row>
    <row r="857" spans="1:10" x14ac:dyDescent="0.35">
      <c r="A857" t="s">
        <v>25</v>
      </c>
      <c r="B857" t="s">
        <v>11</v>
      </c>
      <c r="C857" t="s">
        <v>12</v>
      </c>
      <c r="D857" t="s">
        <v>13</v>
      </c>
      <c r="E857" t="s">
        <v>18</v>
      </c>
      <c r="F857">
        <v>69.58</v>
      </c>
      <c r="G857">
        <v>9</v>
      </c>
      <c r="H857">
        <v>31.311</v>
      </c>
      <c r="I857">
        <f t="shared" si="13"/>
        <v>626.22</v>
      </c>
      <c r="J857">
        <v>657.53100000000006</v>
      </c>
    </row>
    <row r="858" spans="1:10" x14ac:dyDescent="0.35">
      <c r="A858" t="s">
        <v>25</v>
      </c>
      <c r="B858" t="s">
        <v>15</v>
      </c>
      <c r="C858" t="s">
        <v>16</v>
      </c>
      <c r="D858" t="s">
        <v>17</v>
      </c>
      <c r="E858" t="s">
        <v>19</v>
      </c>
      <c r="F858">
        <v>97.5</v>
      </c>
      <c r="G858">
        <v>10</v>
      </c>
      <c r="H858">
        <v>48.75</v>
      </c>
      <c r="I858">
        <f t="shared" si="13"/>
        <v>975</v>
      </c>
      <c r="J858">
        <v>1023.75</v>
      </c>
    </row>
    <row r="859" spans="1:10" x14ac:dyDescent="0.35">
      <c r="A859" t="s">
        <v>25</v>
      </c>
      <c r="B859" t="s">
        <v>20</v>
      </c>
      <c r="C859" t="s">
        <v>21</v>
      </c>
      <c r="D859" t="s">
        <v>17</v>
      </c>
      <c r="E859" t="s">
        <v>22</v>
      </c>
      <c r="F859">
        <v>32.32</v>
      </c>
      <c r="G859">
        <v>3</v>
      </c>
      <c r="H859">
        <v>4.8479999999999999</v>
      </c>
      <c r="I859">
        <f t="shared" si="13"/>
        <v>96.960000000000008</v>
      </c>
      <c r="J859">
        <v>101.80800000000001</v>
      </c>
    </row>
    <row r="860" spans="1:10" x14ac:dyDescent="0.35">
      <c r="A860" t="s">
        <v>25</v>
      </c>
      <c r="B860" t="s">
        <v>20</v>
      </c>
      <c r="C860" t="s">
        <v>21</v>
      </c>
      <c r="D860" t="s">
        <v>13</v>
      </c>
      <c r="E860" t="s">
        <v>14</v>
      </c>
      <c r="F860">
        <v>80.47</v>
      </c>
      <c r="G860">
        <v>9</v>
      </c>
      <c r="H860">
        <v>362.11500000000001</v>
      </c>
      <c r="I860">
        <f t="shared" si="13"/>
        <v>724.23</v>
      </c>
      <c r="J860">
        <v>1086.345</v>
      </c>
    </row>
    <row r="861" spans="1:10" x14ac:dyDescent="0.35">
      <c r="A861" t="s">
        <v>25</v>
      </c>
      <c r="B861" t="s">
        <v>20</v>
      </c>
      <c r="C861" t="s">
        <v>21</v>
      </c>
      <c r="D861" t="s">
        <v>17</v>
      </c>
      <c r="E861" t="s">
        <v>14</v>
      </c>
      <c r="F861">
        <v>71.77</v>
      </c>
      <c r="G861">
        <v>7</v>
      </c>
      <c r="H861">
        <v>251.19499999999999</v>
      </c>
      <c r="I861">
        <f t="shared" si="13"/>
        <v>502.39</v>
      </c>
      <c r="J861">
        <v>753.58500000000004</v>
      </c>
    </row>
    <row r="862" spans="1:10" x14ac:dyDescent="0.35">
      <c r="A862" t="s">
        <v>25</v>
      </c>
      <c r="B862" t="s">
        <v>15</v>
      </c>
      <c r="C862" t="s">
        <v>16</v>
      </c>
      <c r="D862" t="s">
        <v>13</v>
      </c>
      <c r="E862" t="s">
        <v>22</v>
      </c>
      <c r="F862">
        <v>68.98</v>
      </c>
      <c r="G862">
        <v>1</v>
      </c>
      <c r="H862">
        <v>3.4489999999999998</v>
      </c>
      <c r="I862">
        <f t="shared" si="13"/>
        <v>68.98</v>
      </c>
      <c r="J862">
        <v>72.429000000000002</v>
      </c>
    </row>
    <row r="863" spans="1:10" x14ac:dyDescent="0.35">
      <c r="A863" t="s">
        <v>25</v>
      </c>
      <c r="B863" t="s">
        <v>15</v>
      </c>
      <c r="C863" t="s">
        <v>16</v>
      </c>
      <c r="D863" t="s">
        <v>17</v>
      </c>
      <c r="E863" t="s">
        <v>23</v>
      </c>
      <c r="F863">
        <v>15.62</v>
      </c>
      <c r="G863">
        <v>8</v>
      </c>
      <c r="H863">
        <v>6.2480000000000002</v>
      </c>
      <c r="I863">
        <f t="shared" si="13"/>
        <v>124.96</v>
      </c>
      <c r="J863">
        <v>131.208</v>
      </c>
    </row>
    <row r="864" spans="1:10" x14ac:dyDescent="0.35">
      <c r="A864" t="s">
        <v>25</v>
      </c>
      <c r="B864" t="s">
        <v>11</v>
      </c>
      <c r="C864" t="s">
        <v>12</v>
      </c>
      <c r="D864" t="s">
        <v>17</v>
      </c>
      <c r="E864" t="s">
        <v>24</v>
      </c>
      <c r="F864">
        <v>25.7</v>
      </c>
      <c r="G864">
        <v>3</v>
      </c>
      <c r="H864">
        <v>3.855</v>
      </c>
      <c r="I864">
        <f t="shared" si="13"/>
        <v>77.099999999999994</v>
      </c>
      <c r="J864">
        <v>80.954999999999998</v>
      </c>
    </row>
    <row r="865" spans="1:10" x14ac:dyDescent="0.35">
      <c r="A865" t="s">
        <v>25</v>
      </c>
      <c r="B865" t="s">
        <v>11</v>
      </c>
      <c r="C865" t="s">
        <v>12</v>
      </c>
      <c r="D865" t="s">
        <v>13</v>
      </c>
      <c r="E865" t="s">
        <v>22</v>
      </c>
      <c r="F865">
        <v>80.62</v>
      </c>
      <c r="G865">
        <v>6</v>
      </c>
      <c r="H865">
        <v>24.186</v>
      </c>
      <c r="I865">
        <f t="shared" si="13"/>
        <v>483.72</v>
      </c>
      <c r="J865">
        <v>507.90600000000001</v>
      </c>
    </row>
    <row r="866" spans="1:10" x14ac:dyDescent="0.35">
      <c r="A866" t="s">
        <v>25</v>
      </c>
      <c r="B866" t="s">
        <v>15</v>
      </c>
      <c r="C866" t="s">
        <v>16</v>
      </c>
      <c r="D866" t="s">
        <v>13</v>
      </c>
      <c r="E866" t="s">
        <v>23</v>
      </c>
      <c r="F866">
        <v>98.7</v>
      </c>
      <c r="G866">
        <v>8</v>
      </c>
      <c r="H866">
        <v>39.479999999999997</v>
      </c>
      <c r="I866">
        <f t="shared" si="13"/>
        <v>789.6</v>
      </c>
      <c r="J866">
        <v>829.08</v>
      </c>
    </row>
    <row r="867" spans="1:10" x14ac:dyDescent="0.35">
      <c r="A867" t="s">
        <v>25</v>
      </c>
      <c r="B867" t="s">
        <v>11</v>
      </c>
      <c r="C867" t="s">
        <v>12</v>
      </c>
      <c r="D867" t="s">
        <v>13</v>
      </c>
      <c r="E867" t="s">
        <v>18</v>
      </c>
      <c r="F867">
        <v>11.94</v>
      </c>
      <c r="G867">
        <v>3</v>
      </c>
      <c r="H867">
        <v>1.7909999999999999</v>
      </c>
      <c r="I867">
        <f t="shared" si="13"/>
        <v>35.82</v>
      </c>
      <c r="J867">
        <v>37.610999999999997</v>
      </c>
    </row>
    <row r="868" spans="1:10" x14ac:dyDescent="0.35">
      <c r="A868" t="s">
        <v>25</v>
      </c>
      <c r="B868" t="s">
        <v>11</v>
      </c>
      <c r="C868" t="s">
        <v>12</v>
      </c>
      <c r="D868" t="s">
        <v>17</v>
      </c>
      <c r="E868" t="s">
        <v>23</v>
      </c>
      <c r="F868">
        <v>45.38</v>
      </c>
      <c r="G868">
        <v>3</v>
      </c>
      <c r="H868">
        <v>6.8070000000000004</v>
      </c>
      <c r="I868">
        <f t="shared" si="13"/>
        <v>136.14000000000001</v>
      </c>
      <c r="J868">
        <v>142.947</v>
      </c>
    </row>
    <row r="869" spans="1:10" x14ac:dyDescent="0.35">
      <c r="A869" t="s">
        <v>25</v>
      </c>
      <c r="B869" t="s">
        <v>20</v>
      </c>
      <c r="C869" t="s">
        <v>21</v>
      </c>
      <c r="D869" t="s">
        <v>17</v>
      </c>
      <c r="E869" t="s">
        <v>19</v>
      </c>
      <c r="F869">
        <v>44.12</v>
      </c>
      <c r="G869">
        <v>3</v>
      </c>
      <c r="H869">
        <v>6.6180000000000003</v>
      </c>
      <c r="I869">
        <f t="shared" si="13"/>
        <v>132.35999999999999</v>
      </c>
      <c r="J869">
        <v>138.97799999999998</v>
      </c>
    </row>
    <row r="870" spans="1:10" x14ac:dyDescent="0.35">
      <c r="A870" t="s">
        <v>25</v>
      </c>
      <c r="B870" t="s">
        <v>20</v>
      </c>
      <c r="C870" t="s">
        <v>21</v>
      </c>
      <c r="D870" t="s">
        <v>13</v>
      </c>
      <c r="E870" t="s">
        <v>22</v>
      </c>
      <c r="F870">
        <v>23.34</v>
      </c>
      <c r="G870">
        <v>4</v>
      </c>
      <c r="H870">
        <v>4.6680000000000001</v>
      </c>
      <c r="I870">
        <f t="shared" si="13"/>
        <v>93.36</v>
      </c>
      <c r="J870">
        <v>98.028000000000006</v>
      </c>
    </row>
    <row r="871" spans="1:10" x14ac:dyDescent="0.35">
      <c r="A871" t="s">
        <v>25</v>
      </c>
      <c r="B871" t="s">
        <v>15</v>
      </c>
      <c r="C871" t="s">
        <v>16</v>
      </c>
      <c r="D871" t="s">
        <v>13</v>
      </c>
      <c r="E871" t="s">
        <v>19</v>
      </c>
      <c r="F871">
        <v>55.57</v>
      </c>
      <c r="G871">
        <v>3</v>
      </c>
      <c r="H871">
        <v>8.3354999999999997</v>
      </c>
      <c r="I871">
        <f t="shared" si="13"/>
        <v>166.71</v>
      </c>
      <c r="J871">
        <v>175.0455</v>
      </c>
    </row>
    <row r="872" spans="1:10" x14ac:dyDescent="0.35">
      <c r="A872" t="s">
        <v>25</v>
      </c>
      <c r="B872" t="s">
        <v>20</v>
      </c>
      <c r="C872" t="s">
        <v>21</v>
      </c>
      <c r="D872" t="s">
        <v>17</v>
      </c>
      <c r="E872" t="s">
        <v>24</v>
      </c>
      <c r="F872">
        <v>69.739999999999995</v>
      </c>
      <c r="G872">
        <v>10</v>
      </c>
      <c r="H872">
        <v>34.869999999999997</v>
      </c>
      <c r="I872">
        <f t="shared" si="13"/>
        <v>697.4</v>
      </c>
      <c r="J872">
        <v>732.27</v>
      </c>
    </row>
    <row r="873" spans="1:10" x14ac:dyDescent="0.35">
      <c r="A873" t="s">
        <v>25</v>
      </c>
      <c r="B873" t="s">
        <v>15</v>
      </c>
      <c r="C873" t="s">
        <v>16</v>
      </c>
      <c r="D873" t="s">
        <v>17</v>
      </c>
      <c r="E873" t="s">
        <v>23</v>
      </c>
      <c r="F873">
        <v>97.26</v>
      </c>
      <c r="G873">
        <v>4</v>
      </c>
      <c r="H873">
        <v>19.452000000000002</v>
      </c>
      <c r="I873">
        <f t="shared" si="13"/>
        <v>389.04</v>
      </c>
      <c r="J873">
        <v>408.49200000000002</v>
      </c>
    </row>
    <row r="874" spans="1:10" x14ac:dyDescent="0.35">
      <c r="A874" t="s">
        <v>25</v>
      </c>
      <c r="B874" t="s">
        <v>11</v>
      </c>
      <c r="C874" t="s">
        <v>12</v>
      </c>
      <c r="D874" t="s">
        <v>17</v>
      </c>
      <c r="E874" t="s">
        <v>14</v>
      </c>
      <c r="F874">
        <v>56</v>
      </c>
      <c r="G874">
        <v>3</v>
      </c>
      <c r="H874">
        <v>8.4</v>
      </c>
      <c r="I874">
        <f t="shared" si="13"/>
        <v>168</v>
      </c>
      <c r="J874">
        <v>176.4</v>
      </c>
    </row>
    <row r="875" spans="1:10" x14ac:dyDescent="0.35">
      <c r="A875" t="s">
        <v>25</v>
      </c>
      <c r="B875" t="s">
        <v>11</v>
      </c>
      <c r="C875" t="s">
        <v>12</v>
      </c>
      <c r="D875" t="s">
        <v>13</v>
      </c>
      <c r="E875" t="s">
        <v>23</v>
      </c>
      <c r="F875">
        <v>19.7</v>
      </c>
      <c r="G875">
        <v>1</v>
      </c>
      <c r="H875">
        <v>985</v>
      </c>
      <c r="I875">
        <f t="shared" si="13"/>
        <v>19.7</v>
      </c>
      <c r="J875">
        <v>1004.7</v>
      </c>
    </row>
    <row r="876" spans="1:10" x14ac:dyDescent="0.35">
      <c r="A876" t="s">
        <v>25</v>
      </c>
      <c r="B876" t="s">
        <v>20</v>
      </c>
      <c r="C876" t="s">
        <v>21</v>
      </c>
      <c r="D876" t="s">
        <v>17</v>
      </c>
      <c r="E876" t="s">
        <v>18</v>
      </c>
      <c r="F876">
        <v>75.88</v>
      </c>
      <c r="G876">
        <v>7</v>
      </c>
      <c r="H876">
        <v>26.558</v>
      </c>
      <c r="I876">
        <f t="shared" si="13"/>
        <v>531.16</v>
      </c>
      <c r="J876">
        <v>557.71799999999996</v>
      </c>
    </row>
    <row r="877" spans="1:10" x14ac:dyDescent="0.35">
      <c r="A877" t="s">
        <v>25</v>
      </c>
      <c r="B877" t="s">
        <v>20</v>
      </c>
      <c r="C877" t="s">
        <v>21</v>
      </c>
      <c r="D877" t="s">
        <v>13</v>
      </c>
      <c r="E877" t="s">
        <v>22</v>
      </c>
      <c r="F877">
        <v>53.72</v>
      </c>
      <c r="G877">
        <v>1</v>
      </c>
      <c r="H877">
        <v>2.6859999999999999</v>
      </c>
      <c r="I877">
        <f t="shared" si="13"/>
        <v>53.72</v>
      </c>
      <c r="J877">
        <v>56.405999999999999</v>
      </c>
    </row>
    <row r="878" spans="1:10" x14ac:dyDescent="0.35">
      <c r="A878" t="s">
        <v>25</v>
      </c>
      <c r="B878" t="s">
        <v>15</v>
      </c>
      <c r="C878" t="s">
        <v>16</v>
      </c>
      <c r="D878" t="s">
        <v>13</v>
      </c>
      <c r="E878" t="s">
        <v>14</v>
      </c>
      <c r="F878">
        <v>81.95</v>
      </c>
      <c r="G878">
        <v>10</v>
      </c>
      <c r="H878">
        <v>40.975000000000001</v>
      </c>
      <c r="I878">
        <f t="shared" si="13"/>
        <v>819.5</v>
      </c>
      <c r="J878">
        <v>860.47500000000002</v>
      </c>
    </row>
    <row r="879" spans="1:10" x14ac:dyDescent="0.35">
      <c r="A879" t="s">
        <v>25</v>
      </c>
      <c r="B879" t="s">
        <v>15</v>
      </c>
      <c r="C879" t="s">
        <v>16</v>
      </c>
      <c r="D879" t="s">
        <v>17</v>
      </c>
      <c r="E879" t="s">
        <v>18</v>
      </c>
      <c r="F879">
        <v>58.76</v>
      </c>
      <c r="G879">
        <v>10</v>
      </c>
      <c r="H879">
        <v>29.38</v>
      </c>
      <c r="I879">
        <f t="shared" si="13"/>
        <v>587.6</v>
      </c>
      <c r="J879">
        <v>616.98</v>
      </c>
    </row>
    <row r="880" spans="1:10" x14ac:dyDescent="0.35">
      <c r="A880" t="s">
        <v>25</v>
      </c>
      <c r="B880" t="s">
        <v>20</v>
      </c>
      <c r="C880" t="s">
        <v>21</v>
      </c>
      <c r="D880" t="s">
        <v>13</v>
      </c>
      <c r="E880" t="s">
        <v>18</v>
      </c>
      <c r="F880">
        <v>91.56</v>
      </c>
      <c r="G880">
        <v>8</v>
      </c>
      <c r="H880">
        <v>36.624000000000002</v>
      </c>
      <c r="I880">
        <f t="shared" si="13"/>
        <v>732.48</v>
      </c>
      <c r="J880">
        <v>769.10400000000004</v>
      </c>
    </row>
    <row r="881" spans="1:10" x14ac:dyDescent="0.35">
      <c r="A881" t="s">
        <v>25</v>
      </c>
      <c r="B881" t="s">
        <v>11</v>
      </c>
      <c r="C881" t="s">
        <v>12</v>
      </c>
      <c r="D881" t="s">
        <v>17</v>
      </c>
      <c r="E881" t="s">
        <v>19</v>
      </c>
      <c r="F881">
        <v>93.96</v>
      </c>
      <c r="G881">
        <v>9</v>
      </c>
      <c r="H881">
        <v>42.281999999999996</v>
      </c>
      <c r="I881">
        <f t="shared" si="13"/>
        <v>845.64</v>
      </c>
      <c r="J881">
        <v>887.92200000000003</v>
      </c>
    </row>
    <row r="882" spans="1:10" x14ac:dyDescent="0.35">
      <c r="A882" t="s">
        <v>25</v>
      </c>
      <c r="B882" t="s">
        <v>15</v>
      </c>
      <c r="C882" t="s">
        <v>16</v>
      </c>
      <c r="D882" t="s">
        <v>17</v>
      </c>
      <c r="E882" t="s">
        <v>19</v>
      </c>
      <c r="F882">
        <v>55.61</v>
      </c>
      <c r="G882">
        <v>7</v>
      </c>
      <c r="H882">
        <v>194.63499999999999</v>
      </c>
      <c r="I882">
        <f t="shared" si="13"/>
        <v>389.27</v>
      </c>
      <c r="J882">
        <v>583.90499999999997</v>
      </c>
    </row>
    <row r="883" spans="1:10" x14ac:dyDescent="0.35">
      <c r="A883" t="s">
        <v>25</v>
      </c>
      <c r="B883" t="s">
        <v>15</v>
      </c>
      <c r="C883" t="s">
        <v>16</v>
      </c>
      <c r="D883" t="s">
        <v>17</v>
      </c>
      <c r="E883" t="s">
        <v>22</v>
      </c>
      <c r="F883">
        <v>84.83</v>
      </c>
      <c r="G883">
        <v>1</v>
      </c>
      <c r="H883">
        <v>4.2415000000000003</v>
      </c>
      <c r="I883">
        <f t="shared" si="13"/>
        <v>84.83</v>
      </c>
      <c r="J883">
        <v>89.0715</v>
      </c>
    </row>
    <row r="884" spans="1:10" x14ac:dyDescent="0.35">
      <c r="A884" t="s">
        <v>25</v>
      </c>
      <c r="B884" t="s">
        <v>11</v>
      </c>
      <c r="C884" t="s">
        <v>12</v>
      </c>
      <c r="D884" t="s">
        <v>13</v>
      </c>
      <c r="E884" t="s">
        <v>19</v>
      </c>
      <c r="F884">
        <v>37.69</v>
      </c>
      <c r="G884">
        <v>2</v>
      </c>
      <c r="H884">
        <v>3.7690000000000001</v>
      </c>
      <c r="I884">
        <f t="shared" si="13"/>
        <v>75.38</v>
      </c>
      <c r="J884">
        <v>79.149000000000001</v>
      </c>
    </row>
    <row r="885" spans="1:10" x14ac:dyDescent="0.35">
      <c r="A885" t="s">
        <v>25</v>
      </c>
      <c r="B885" t="s">
        <v>20</v>
      </c>
      <c r="C885" t="s">
        <v>21</v>
      </c>
      <c r="D885" t="s">
        <v>13</v>
      </c>
      <c r="E885" t="s">
        <v>23</v>
      </c>
      <c r="F885">
        <v>65.23</v>
      </c>
      <c r="G885">
        <v>10</v>
      </c>
      <c r="H885">
        <v>32.615000000000002</v>
      </c>
      <c r="I885">
        <f t="shared" si="13"/>
        <v>652.30000000000007</v>
      </c>
      <c r="J885">
        <v>684.91500000000008</v>
      </c>
    </row>
    <row r="886" spans="1:10" x14ac:dyDescent="0.35">
      <c r="A886" t="s">
        <v>25</v>
      </c>
      <c r="B886" t="s">
        <v>15</v>
      </c>
      <c r="C886" t="s">
        <v>16</v>
      </c>
      <c r="D886" t="s">
        <v>13</v>
      </c>
      <c r="E886" t="s">
        <v>14</v>
      </c>
      <c r="F886">
        <v>81.23</v>
      </c>
      <c r="G886">
        <v>7</v>
      </c>
      <c r="H886">
        <v>284.30500000000001</v>
      </c>
      <c r="I886">
        <f t="shared" si="13"/>
        <v>568.61</v>
      </c>
      <c r="J886">
        <v>852.91499999999996</v>
      </c>
    </row>
    <row r="887" spans="1:10" x14ac:dyDescent="0.35">
      <c r="A887" t="s">
        <v>25</v>
      </c>
      <c r="B887" t="s">
        <v>20</v>
      </c>
      <c r="C887" t="s">
        <v>21</v>
      </c>
      <c r="D887" t="s">
        <v>17</v>
      </c>
      <c r="E887" t="s">
        <v>19</v>
      </c>
      <c r="F887">
        <v>73.28</v>
      </c>
      <c r="G887">
        <v>5</v>
      </c>
      <c r="H887">
        <v>18.32</v>
      </c>
      <c r="I887">
        <f t="shared" si="13"/>
        <v>366.4</v>
      </c>
      <c r="J887">
        <v>384.71999999999997</v>
      </c>
    </row>
    <row r="888" spans="1:10" x14ac:dyDescent="0.35">
      <c r="A888" t="s">
        <v>25</v>
      </c>
      <c r="B888" t="s">
        <v>11</v>
      </c>
      <c r="C888" t="s">
        <v>12</v>
      </c>
      <c r="D888" t="s">
        <v>13</v>
      </c>
      <c r="E888" t="s">
        <v>22</v>
      </c>
      <c r="F888">
        <v>18.850000000000001</v>
      </c>
      <c r="G888">
        <v>10</v>
      </c>
      <c r="H888">
        <v>9.4250000000000007</v>
      </c>
      <c r="I888">
        <f t="shared" si="13"/>
        <v>188.5</v>
      </c>
      <c r="J888">
        <v>197.92500000000001</v>
      </c>
    </row>
    <row r="889" spans="1:10" x14ac:dyDescent="0.35">
      <c r="A889" t="s">
        <v>25</v>
      </c>
      <c r="B889" t="s">
        <v>20</v>
      </c>
      <c r="C889" t="s">
        <v>21</v>
      </c>
      <c r="D889" t="s">
        <v>17</v>
      </c>
      <c r="E889" t="s">
        <v>18</v>
      </c>
      <c r="F889">
        <v>72.13</v>
      </c>
      <c r="G889">
        <v>10</v>
      </c>
      <c r="H889">
        <v>36.064999999999998</v>
      </c>
      <c r="I889">
        <f t="shared" si="13"/>
        <v>721.3</v>
      </c>
      <c r="J889">
        <v>757.36500000000001</v>
      </c>
    </row>
    <row r="890" spans="1:10" x14ac:dyDescent="0.35">
      <c r="A890" t="s">
        <v>25</v>
      </c>
      <c r="B890" t="s">
        <v>11</v>
      </c>
      <c r="C890" t="s">
        <v>12</v>
      </c>
      <c r="D890" t="s">
        <v>13</v>
      </c>
      <c r="E890" t="s">
        <v>14</v>
      </c>
      <c r="F890">
        <v>55.5</v>
      </c>
      <c r="G890">
        <v>4</v>
      </c>
      <c r="H890">
        <v>11.1</v>
      </c>
      <c r="I890">
        <f t="shared" si="13"/>
        <v>222</v>
      </c>
      <c r="J890">
        <v>233.1</v>
      </c>
    </row>
    <row r="891" spans="1:10" x14ac:dyDescent="0.35">
      <c r="A891" t="s">
        <v>25</v>
      </c>
      <c r="B891" t="s">
        <v>20</v>
      </c>
      <c r="C891" t="s">
        <v>21</v>
      </c>
      <c r="D891" t="s">
        <v>17</v>
      </c>
      <c r="E891" t="s">
        <v>24</v>
      </c>
      <c r="F891">
        <v>13.69</v>
      </c>
      <c r="G891">
        <v>6</v>
      </c>
      <c r="H891">
        <v>4.1070000000000002</v>
      </c>
      <c r="I891">
        <f t="shared" si="13"/>
        <v>82.14</v>
      </c>
      <c r="J891">
        <v>86.247</v>
      </c>
    </row>
    <row r="892" spans="1:10" x14ac:dyDescent="0.35">
      <c r="A892" t="s">
        <v>25</v>
      </c>
      <c r="B892" t="s">
        <v>15</v>
      </c>
      <c r="C892" t="s">
        <v>16</v>
      </c>
      <c r="D892" t="s">
        <v>13</v>
      </c>
      <c r="E892" t="s">
        <v>22</v>
      </c>
      <c r="F892">
        <v>65.650000000000006</v>
      </c>
      <c r="G892">
        <v>2</v>
      </c>
      <c r="H892">
        <v>6.5650000000000004</v>
      </c>
      <c r="I892">
        <f t="shared" si="13"/>
        <v>131.30000000000001</v>
      </c>
      <c r="J892">
        <v>137.86500000000001</v>
      </c>
    </row>
    <row r="893" spans="1:10" x14ac:dyDescent="0.35">
      <c r="A893" t="s">
        <v>25</v>
      </c>
      <c r="B893" t="s">
        <v>15</v>
      </c>
      <c r="C893" t="s">
        <v>16</v>
      </c>
      <c r="D893" t="s">
        <v>13</v>
      </c>
      <c r="E893" t="s">
        <v>14</v>
      </c>
      <c r="F893">
        <v>65.31</v>
      </c>
      <c r="G893">
        <v>7</v>
      </c>
      <c r="H893">
        <v>228.58500000000001</v>
      </c>
      <c r="I893">
        <f t="shared" si="13"/>
        <v>457.17</v>
      </c>
      <c r="J893">
        <v>685.755</v>
      </c>
    </row>
    <row r="894" spans="1:10" x14ac:dyDescent="0.35">
      <c r="A894" t="s">
        <v>25</v>
      </c>
      <c r="B894" t="s">
        <v>20</v>
      </c>
      <c r="C894" t="s">
        <v>21</v>
      </c>
      <c r="D894" t="s">
        <v>17</v>
      </c>
      <c r="E894" t="s">
        <v>24</v>
      </c>
      <c r="F894">
        <v>93.38</v>
      </c>
      <c r="G894">
        <v>1</v>
      </c>
      <c r="H894">
        <v>4.6689999999999996</v>
      </c>
      <c r="I894">
        <f t="shared" si="13"/>
        <v>93.38</v>
      </c>
      <c r="J894">
        <v>98.048999999999992</v>
      </c>
    </row>
    <row r="895" spans="1:10" x14ac:dyDescent="0.35">
      <c r="A895" t="s">
        <v>25</v>
      </c>
      <c r="B895" t="s">
        <v>15</v>
      </c>
      <c r="C895" t="s">
        <v>16</v>
      </c>
      <c r="D895" t="s">
        <v>13</v>
      </c>
      <c r="E895" t="s">
        <v>24</v>
      </c>
      <c r="F895">
        <v>25.25</v>
      </c>
      <c r="G895">
        <v>5</v>
      </c>
      <c r="H895">
        <v>6.3125</v>
      </c>
      <c r="I895">
        <f t="shared" si="13"/>
        <v>126.25</v>
      </c>
      <c r="J895">
        <v>132.5625</v>
      </c>
    </row>
    <row r="896" spans="1:10" x14ac:dyDescent="0.35">
      <c r="A896" t="s">
        <v>25</v>
      </c>
      <c r="B896" t="s">
        <v>20</v>
      </c>
      <c r="C896" t="s">
        <v>21</v>
      </c>
      <c r="D896" t="s">
        <v>13</v>
      </c>
      <c r="E896" t="s">
        <v>18</v>
      </c>
      <c r="F896">
        <v>87.87</v>
      </c>
      <c r="G896">
        <v>9</v>
      </c>
      <c r="H896">
        <v>395.41500000000002</v>
      </c>
      <c r="I896">
        <f t="shared" si="13"/>
        <v>790.83</v>
      </c>
      <c r="J896">
        <v>1186.2450000000001</v>
      </c>
    </row>
    <row r="897" spans="1:10" x14ac:dyDescent="0.35">
      <c r="A897" t="s">
        <v>25</v>
      </c>
      <c r="B897" t="s">
        <v>15</v>
      </c>
      <c r="C897" t="s">
        <v>16</v>
      </c>
      <c r="D897" t="s">
        <v>17</v>
      </c>
      <c r="E897" t="s">
        <v>14</v>
      </c>
      <c r="F897">
        <v>21.8</v>
      </c>
      <c r="G897">
        <v>8</v>
      </c>
      <c r="H897">
        <v>8.7200000000000006</v>
      </c>
      <c r="I897">
        <f t="shared" si="13"/>
        <v>174.4</v>
      </c>
      <c r="J897">
        <v>183.12</v>
      </c>
    </row>
    <row r="898" spans="1:10" x14ac:dyDescent="0.35">
      <c r="A898" t="s">
        <v>25</v>
      </c>
      <c r="B898" t="s">
        <v>11</v>
      </c>
      <c r="C898" t="s">
        <v>12</v>
      </c>
      <c r="D898" t="s">
        <v>17</v>
      </c>
      <c r="E898" t="s">
        <v>18</v>
      </c>
      <c r="F898">
        <v>74.58</v>
      </c>
      <c r="G898">
        <v>7</v>
      </c>
      <c r="H898">
        <v>26.103000000000002</v>
      </c>
      <c r="I898">
        <f t="shared" si="13"/>
        <v>522.05999999999995</v>
      </c>
      <c r="J898">
        <v>548.1629999999999</v>
      </c>
    </row>
    <row r="899" spans="1:10" x14ac:dyDescent="0.35">
      <c r="A899" t="s">
        <v>25</v>
      </c>
      <c r="B899" t="s">
        <v>15</v>
      </c>
      <c r="C899" t="s">
        <v>16</v>
      </c>
      <c r="D899" t="s">
        <v>17</v>
      </c>
      <c r="E899" t="s">
        <v>18</v>
      </c>
      <c r="F899">
        <v>71.89</v>
      </c>
      <c r="G899">
        <v>8</v>
      </c>
      <c r="H899">
        <v>28.756</v>
      </c>
      <c r="I899">
        <f t="shared" ref="I899:I962" si="14">F899*G899</f>
        <v>575.12</v>
      </c>
      <c r="J899">
        <v>603.87599999999998</v>
      </c>
    </row>
    <row r="900" spans="1:10" x14ac:dyDescent="0.35">
      <c r="A900" t="s">
        <v>25</v>
      </c>
      <c r="B900" t="s">
        <v>15</v>
      </c>
      <c r="C900" t="s">
        <v>16</v>
      </c>
      <c r="D900" t="s">
        <v>13</v>
      </c>
      <c r="E900" t="s">
        <v>14</v>
      </c>
      <c r="F900">
        <v>60.47</v>
      </c>
      <c r="G900">
        <v>3</v>
      </c>
      <c r="H900">
        <v>9.0704999999999991</v>
      </c>
      <c r="I900">
        <f t="shared" si="14"/>
        <v>181.41</v>
      </c>
      <c r="J900">
        <v>190.48050000000001</v>
      </c>
    </row>
    <row r="901" spans="1:10" x14ac:dyDescent="0.35">
      <c r="A901" t="s">
        <v>25</v>
      </c>
      <c r="B901" t="s">
        <v>11</v>
      </c>
      <c r="C901" t="s">
        <v>12</v>
      </c>
      <c r="D901" t="s">
        <v>17</v>
      </c>
      <c r="E901" t="s">
        <v>24</v>
      </c>
      <c r="F901">
        <v>58.91</v>
      </c>
      <c r="G901">
        <v>7</v>
      </c>
      <c r="H901">
        <v>206.185</v>
      </c>
      <c r="I901">
        <f t="shared" si="14"/>
        <v>412.37</v>
      </c>
      <c r="J901">
        <v>618.55500000000006</v>
      </c>
    </row>
    <row r="902" spans="1:10" x14ac:dyDescent="0.35">
      <c r="A902" t="s">
        <v>25</v>
      </c>
      <c r="B902" t="s">
        <v>11</v>
      </c>
      <c r="C902" t="s">
        <v>12</v>
      </c>
      <c r="D902" t="s">
        <v>17</v>
      </c>
      <c r="E902" t="s">
        <v>23</v>
      </c>
      <c r="F902">
        <v>46.41</v>
      </c>
      <c r="G902">
        <v>1</v>
      </c>
      <c r="H902">
        <v>2.3205</v>
      </c>
      <c r="I902">
        <f t="shared" si="14"/>
        <v>46.41</v>
      </c>
      <c r="J902">
        <v>48.730499999999999</v>
      </c>
    </row>
    <row r="903" spans="1:10" x14ac:dyDescent="0.35">
      <c r="A903" t="s">
        <v>25</v>
      </c>
      <c r="B903" t="s">
        <v>15</v>
      </c>
      <c r="C903" t="s">
        <v>16</v>
      </c>
      <c r="D903" t="s">
        <v>13</v>
      </c>
      <c r="E903" t="s">
        <v>14</v>
      </c>
      <c r="F903">
        <v>68.55</v>
      </c>
      <c r="G903">
        <v>4</v>
      </c>
      <c r="H903">
        <v>13.71</v>
      </c>
      <c r="I903">
        <f t="shared" si="14"/>
        <v>274.2</v>
      </c>
      <c r="J903">
        <v>287.90999999999997</v>
      </c>
    </row>
    <row r="904" spans="1:10" x14ac:dyDescent="0.35">
      <c r="A904" t="s">
        <v>25</v>
      </c>
      <c r="B904" t="s">
        <v>11</v>
      </c>
      <c r="C904" t="s">
        <v>12</v>
      </c>
      <c r="D904" t="s">
        <v>13</v>
      </c>
      <c r="E904" t="s">
        <v>18</v>
      </c>
      <c r="F904">
        <v>92.6</v>
      </c>
      <c r="G904">
        <v>7</v>
      </c>
      <c r="H904">
        <v>32.409999999999997</v>
      </c>
      <c r="I904">
        <f t="shared" si="14"/>
        <v>648.19999999999993</v>
      </c>
      <c r="J904">
        <v>680.6099999999999</v>
      </c>
    </row>
    <row r="905" spans="1:10" x14ac:dyDescent="0.35">
      <c r="A905" t="s">
        <v>25</v>
      </c>
      <c r="B905" t="s">
        <v>20</v>
      </c>
      <c r="C905" t="s">
        <v>21</v>
      </c>
      <c r="D905" t="s">
        <v>17</v>
      </c>
      <c r="E905" t="s">
        <v>23</v>
      </c>
      <c r="F905">
        <v>27.18</v>
      </c>
      <c r="G905">
        <v>2</v>
      </c>
      <c r="H905">
        <v>2.718</v>
      </c>
      <c r="I905">
        <f t="shared" si="14"/>
        <v>54.36</v>
      </c>
      <c r="J905">
        <v>57.078000000000003</v>
      </c>
    </row>
    <row r="906" spans="1:10" x14ac:dyDescent="0.35">
      <c r="A906" t="s">
        <v>25</v>
      </c>
      <c r="B906" t="s">
        <v>20</v>
      </c>
      <c r="C906" t="s">
        <v>21</v>
      </c>
      <c r="D906" t="s">
        <v>17</v>
      </c>
      <c r="E906" t="s">
        <v>14</v>
      </c>
      <c r="F906">
        <v>92.78</v>
      </c>
      <c r="G906">
        <v>1</v>
      </c>
      <c r="H906">
        <v>4.6390000000000002</v>
      </c>
      <c r="I906">
        <f t="shared" si="14"/>
        <v>92.78</v>
      </c>
      <c r="J906">
        <v>97.418999999999997</v>
      </c>
    </row>
    <row r="907" spans="1:10" x14ac:dyDescent="0.35">
      <c r="A907" t="s">
        <v>25</v>
      </c>
      <c r="B907" t="s">
        <v>15</v>
      </c>
      <c r="C907" t="s">
        <v>16</v>
      </c>
      <c r="D907" t="s">
        <v>13</v>
      </c>
      <c r="E907" t="s">
        <v>19</v>
      </c>
      <c r="F907">
        <v>86.69</v>
      </c>
      <c r="G907">
        <v>5</v>
      </c>
      <c r="H907">
        <v>216.72499999999999</v>
      </c>
      <c r="I907">
        <f t="shared" si="14"/>
        <v>433.45</v>
      </c>
      <c r="J907">
        <v>650.17499999999995</v>
      </c>
    </row>
    <row r="908" spans="1:10" x14ac:dyDescent="0.35">
      <c r="A908" t="s">
        <v>25</v>
      </c>
      <c r="B908" t="s">
        <v>20</v>
      </c>
      <c r="C908" t="s">
        <v>21</v>
      </c>
      <c r="D908" t="s">
        <v>17</v>
      </c>
      <c r="E908" t="s">
        <v>24</v>
      </c>
      <c r="F908">
        <v>23.01</v>
      </c>
      <c r="G908">
        <v>6</v>
      </c>
      <c r="H908">
        <v>6.9029999999999996</v>
      </c>
      <c r="I908">
        <f t="shared" si="14"/>
        <v>138.06</v>
      </c>
      <c r="J908">
        <v>144.96299999999999</v>
      </c>
    </row>
    <row r="909" spans="1:10" x14ac:dyDescent="0.35">
      <c r="A909" t="s">
        <v>25</v>
      </c>
      <c r="B909" t="s">
        <v>15</v>
      </c>
      <c r="C909" t="s">
        <v>16</v>
      </c>
      <c r="D909" t="s">
        <v>13</v>
      </c>
      <c r="E909" t="s">
        <v>23</v>
      </c>
      <c r="F909">
        <v>67.39</v>
      </c>
      <c r="G909">
        <v>7</v>
      </c>
      <c r="H909">
        <v>235.86500000000001</v>
      </c>
      <c r="I909">
        <f t="shared" si="14"/>
        <v>471.73</v>
      </c>
      <c r="J909">
        <v>707.59500000000003</v>
      </c>
    </row>
    <row r="910" spans="1:10" x14ac:dyDescent="0.35">
      <c r="A910" t="s">
        <v>25</v>
      </c>
      <c r="B910" t="s">
        <v>20</v>
      </c>
      <c r="C910" t="s">
        <v>21</v>
      </c>
      <c r="D910" t="s">
        <v>17</v>
      </c>
      <c r="E910" t="s">
        <v>14</v>
      </c>
      <c r="F910">
        <v>10.75</v>
      </c>
      <c r="G910">
        <v>8</v>
      </c>
      <c r="H910">
        <v>4.3</v>
      </c>
      <c r="I910">
        <f t="shared" si="14"/>
        <v>86</v>
      </c>
      <c r="J910">
        <v>90.3</v>
      </c>
    </row>
    <row r="911" spans="1:10" x14ac:dyDescent="0.35">
      <c r="A911" t="s">
        <v>25</v>
      </c>
      <c r="B911" t="s">
        <v>11</v>
      </c>
      <c r="C911" t="s">
        <v>12</v>
      </c>
      <c r="D911" t="s">
        <v>17</v>
      </c>
      <c r="E911" t="s">
        <v>18</v>
      </c>
      <c r="F911">
        <v>95.15</v>
      </c>
      <c r="G911">
        <v>1</v>
      </c>
      <c r="H911">
        <v>4.7575000000000003</v>
      </c>
      <c r="I911">
        <f t="shared" si="14"/>
        <v>95.15</v>
      </c>
      <c r="J911">
        <v>99.907499999999999</v>
      </c>
    </row>
    <row r="912" spans="1:10" x14ac:dyDescent="0.35">
      <c r="A912" t="s">
        <v>25</v>
      </c>
      <c r="B912" t="s">
        <v>11</v>
      </c>
      <c r="C912" t="s">
        <v>12</v>
      </c>
      <c r="D912" t="s">
        <v>17</v>
      </c>
      <c r="E912" t="s">
        <v>22</v>
      </c>
      <c r="F912">
        <v>33.880000000000003</v>
      </c>
      <c r="G912">
        <v>8</v>
      </c>
      <c r="H912">
        <v>13.552</v>
      </c>
      <c r="I912">
        <f t="shared" si="14"/>
        <v>271.04000000000002</v>
      </c>
      <c r="J912">
        <v>284.59200000000004</v>
      </c>
    </row>
    <row r="913" spans="1:10" x14ac:dyDescent="0.35">
      <c r="A913" t="s">
        <v>25</v>
      </c>
      <c r="B913" t="s">
        <v>20</v>
      </c>
      <c r="C913" t="s">
        <v>21</v>
      </c>
      <c r="D913" t="s">
        <v>13</v>
      </c>
      <c r="E913" t="s">
        <v>14</v>
      </c>
      <c r="F913">
        <v>96.16</v>
      </c>
      <c r="G913">
        <v>4</v>
      </c>
      <c r="H913">
        <v>19.231999999999999</v>
      </c>
      <c r="I913">
        <f t="shared" si="14"/>
        <v>384.64</v>
      </c>
      <c r="J913">
        <v>403.87199999999996</v>
      </c>
    </row>
    <row r="914" spans="1:10" x14ac:dyDescent="0.35">
      <c r="A914" t="s">
        <v>25</v>
      </c>
      <c r="B914" t="s">
        <v>20</v>
      </c>
      <c r="C914" t="s">
        <v>21</v>
      </c>
      <c r="D914" t="s">
        <v>13</v>
      </c>
      <c r="E914" t="s">
        <v>22</v>
      </c>
      <c r="F914">
        <v>47.16</v>
      </c>
      <c r="G914">
        <v>5</v>
      </c>
      <c r="H914">
        <v>11.79</v>
      </c>
      <c r="I914">
        <f t="shared" si="14"/>
        <v>235.79999999999998</v>
      </c>
      <c r="J914">
        <v>247.58999999999997</v>
      </c>
    </row>
    <row r="915" spans="1:10" x14ac:dyDescent="0.35">
      <c r="A915" t="s">
        <v>25</v>
      </c>
      <c r="B915" t="s">
        <v>20</v>
      </c>
      <c r="C915" t="s">
        <v>21</v>
      </c>
      <c r="D915" t="s">
        <v>17</v>
      </c>
      <c r="E915" t="s">
        <v>18</v>
      </c>
      <c r="F915">
        <v>52.89</v>
      </c>
      <c r="G915">
        <v>4</v>
      </c>
      <c r="H915">
        <v>10.577999999999999</v>
      </c>
      <c r="I915">
        <f t="shared" si="14"/>
        <v>211.56</v>
      </c>
      <c r="J915">
        <v>222.13800000000001</v>
      </c>
    </row>
    <row r="916" spans="1:10" x14ac:dyDescent="0.35">
      <c r="A916" t="s">
        <v>25</v>
      </c>
      <c r="B916" t="s">
        <v>15</v>
      </c>
      <c r="C916" t="s">
        <v>16</v>
      </c>
      <c r="D916" t="s">
        <v>13</v>
      </c>
      <c r="E916" t="s">
        <v>24</v>
      </c>
      <c r="F916">
        <v>10.17</v>
      </c>
      <c r="G916">
        <v>1</v>
      </c>
      <c r="H916">
        <v>5.085</v>
      </c>
      <c r="I916">
        <f t="shared" si="14"/>
        <v>10.17</v>
      </c>
      <c r="J916">
        <v>15.254999999999999</v>
      </c>
    </row>
    <row r="917" spans="1:10" x14ac:dyDescent="0.35">
      <c r="A917" t="s">
        <v>25</v>
      </c>
      <c r="B917" t="s">
        <v>11</v>
      </c>
      <c r="C917" t="s">
        <v>12</v>
      </c>
      <c r="D917" t="s">
        <v>13</v>
      </c>
      <c r="E917" t="s">
        <v>23</v>
      </c>
      <c r="F917">
        <v>41.28</v>
      </c>
      <c r="G917">
        <v>3</v>
      </c>
      <c r="H917">
        <v>6.1920000000000002</v>
      </c>
      <c r="I917">
        <f t="shared" si="14"/>
        <v>123.84</v>
      </c>
      <c r="J917">
        <v>130.03200000000001</v>
      </c>
    </row>
    <row r="918" spans="1:10" x14ac:dyDescent="0.35">
      <c r="A918" t="s">
        <v>25</v>
      </c>
      <c r="B918" t="s">
        <v>15</v>
      </c>
      <c r="C918" t="s">
        <v>16</v>
      </c>
      <c r="D918" t="s">
        <v>17</v>
      </c>
      <c r="E918" t="s">
        <v>18</v>
      </c>
      <c r="F918">
        <v>64.95</v>
      </c>
      <c r="G918">
        <v>10</v>
      </c>
      <c r="H918">
        <v>32.475000000000001</v>
      </c>
      <c r="I918">
        <f t="shared" si="14"/>
        <v>649.5</v>
      </c>
      <c r="J918">
        <v>681.97500000000002</v>
      </c>
    </row>
    <row r="919" spans="1:10" x14ac:dyDescent="0.35">
      <c r="A919" t="s">
        <v>25</v>
      </c>
      <c r="B919" t="s">
        <v>11</v>
      </c>
      <c r="C919" t="s">
        <v>12</v>
      </c>
      <c r="D919" t="s">
        <v>17</v>
      </c>
      <c r="E919" t="s">
        <v>18</v>
      </c>
      <c r="F919">
        <v>10.56</v>
      </c>
      <c r="G919">
        <v>8</v>
      </c>
      <c r="H919">
        <v>4.2240000000000002</v>
      </c>
      <c r="I919">
        <f t="shared" si="14"/>
        <v>84.48</v>
      </c>
      <c r="J919">
        <v>88.704000000000008</v>
      </c>
    </row>
    <row r="920" spans="1:10" x14ac:dyDescent="0.35">
      <c r="A920" t="s">
        <v>25</v>
      </c>
      <c r="B920" t="s">
        <v>20</v>
      </c>
      <c r="C920" t="s">
        <v>21</v>
      </c>
      <c r="D920" t="s">
        <v>17</v>
      </c>
      <c r="E920" t="s">
        <v>14</v>
      </c>
      <c r="F920">
        <v>62.57</v>
      </c>
      <c r="G920">
        <v>4</v>
      </c>
      <c r="H920">
        <v>12.513999999999999</v>
      </c>
      <c r="I920">
        <f t="shared" si="14"/>
        <v>250.28</v>
      </c>
      <c r="J920">
        <v>262.79399999999998</v>
      </c>
    </row>
    <row r="921" spans="1:10" x14ac:dyDescent="0.35">
      <c r="A921" t="s">
        <v>25</v>
      </c>
      <c r="B921" t="s">
        <v>11</v>
      </c>
      <c r="C921" t="s">
        <v>12</v>
      </c>
      <c r="D921" t="s">
        <v>13</v>
      </c>
      <c r="E921" t="s">
        <v>14</v>
      </c>
      <c r="F921">
        <v>91.3</v>
      </c>
      <c r="G921">
        <v>1</v>
      </c>
      <c r="H921">
        <v>4.5650000000000004</v>
      </c>
      <c r="I921">
        <f t="shared" si="14"/>
        <v>91.3</v>
      </c>
      <c r="J921">
        <v>95.864999999999995</v>
      </c>
    </row>
    <row r="922" spans="1:10" x14ac:dyDescent="0.35">
      <c r="A922" t="s">
        <v>25</v>
      </c>
      <c r="B922" t="s">
        <v>11</v>
      </c>
      <c r="C922" t="s">
        <v>12</v>
      </c>
      <c r="D922" t="s">
        <v>17</v>
      </c>
      <c r="E922" t="s">
        <v>23</v>
      </c>
      <c r="F922">
        <v>52.38</v>
      </c>
      <c r="G922">
        <v>1</v>
      </c>
      <c r="H922">
        <v>2.6190000000000002</v>
      </c>
      <c r="I922">
        <f t="shared" si="14"/>
        <v>52.38</v>
      </c>
      <c r="J922">
        <v>54.999000000000002</v>
      </c>
    </row>
    <row r="923" spans="1:10" x14ac:dyDescent="0.35">
      <c r="A923" t="s">
        <v>25</v>
      </c>
      <c r="B923" t="s">
        <v>11</v>
      </c>
      <c r="C923" t="s">
        <v>12</v>
      </c>
      <c r="D923" t="s">
        <v>13</v>
      </c>
      <c r="E923" t="s">
        <v>23</v>
      </c>
      <c r="F923">
        <v>38.54</v>
      </c>
      <c r="G923">
        <v>5</v>
      </c>
      <c r="H923">
        <v>9.6349999999999998</v>
      </c>
      <c r="I923">
        <f t="shared" si="14"/>
        <v>192.7</v>
      </c>
      <c r="J923">
        <v>202.33499999999998</v>
      </c>
    </row>
    <row r="924" spans="1:10" x14ac:dyDescent="0.35">
      <c r="A924" t="s">
        <v>25</v>
      </c>
      <c r="B924" t="s">
        <v>20</v>
      </c>
      <c r="C924" t="s">
        <v>21</v>
      </c>
      <c r="D924" t="s">
        <v>17</v>
      </c>
      <c r="E924" t="s">
        <v>24</v>
      </c>
      <c r="F924">
        <v>44.63</v>
      </c>
      <c r="G924">
        <v>6</v>
      </c>
      <c r="H924">
        <v>13.388999999999999</v>
      </c>
      <c r="I924">
        <f t="shared" si="14"/>
        <v>267.78000000000003</v>
      </c>
      <c r="J924">
        <v>281.16900000000004</v>
      </c>
    </row>
    <row r="925" spans="1:10" x14ac:dyDescent="0.35">
      <c r="A925" t="s">
        <v>25</v>
      </c>
      <c r="B925" t="s">
        <v>15</v>
      </c>
      <c r="C925" t="s">
        <v>16</v>
      </c>
      <c r="D925" t="s">
        <v>17</v>
      </c>
      <c r="E925" t="s">
        <v>18</v>
      </c>
      <c r="F925">
        <v>55.87</v>
      </c>
      <c r="G925">
        <v>10</v>
      </c>
      <c r="H925">
        <v>27.934999999999999</v>
      </c>
      <c r="I925">
        <f t="shared" si="14"/>
        <v>558.69999999999993</v>
      </c>
      <c r="J925">
        <v>586.63499999999988</v>
      </c>
    </row>
    <row r="926" spans="1:10" x14ac:dyDescent="0.35">
      <c r="A926" t="s">
        <v>25</v>
      </c>
      <c r="B926" t="s">
        <v>11</v>
      </c>
      <c r="C926" t="s">
        <v>12</v>
      </c>
      <c r="D926" t="s">
        <v>17</v>
      </c>
      <c r="E926" t="s">
        <v>23</v>
      </c>
      <c r="F926">
        <v>51.94</v>
      </c>
      <c r="G926">
        <v>3</v>
      </c>
      <c r="H926">
        <v>7.7910000000000004</v>
      </c>
      <c r="I926">
        <f t="shared" si="14"/>
        <v>155.82</v>
      </c>
      <c r="J926">
        <v>163.61099999999999</v>
      </c>
    </row>
    <row r="927" spans="1:10" x14ac:dyDescent="0.35">
      <c r="A927" t="s">
        <v>25</v>
      </c>
      <c r="B927" t="s">
        <v>20</v>
      </c>
      <c r="C927" t="s">
        <v>21</v>
      </c>
      <c r="D927" t="s">
        <v>17</v>
      </c>
      <c r="E927" t="s">
        <v>18</v>
      </c>
      <c r="F927">
        <v>60.3</v>
      </c>
      <c r="G927">
        <v>1</v>
      </c>
      <c r="H927">
        <v>3.0150000000000001</v>
      </c>
      <c r="I927">
        <f t="shared" si="14"/>
        <v>60.3</v>
      </c>
      <c r="J927">
        <v>63.314999999999998</v>
      </c>
    </row>
    <row r="928" spans="1:10" x14ac:dyDescent="0.35">
      <c r="A928" t="s">
        <v>25</v>
      </c>
      <c r="B928" t="s">
        <v>11</v>
      </c>
      <c r="C928" t="s">
        <v>12</v>
      </c>
      <c r="D928" t="s">
        <v>17</v>
      </c>
      <c r="E928" t="s">
        <v>23</v>
      </c>
      <c r="F928">
        <v>21.32</v>
      </c>
      <c r="G928">
        <v>1</v>
      </c>
      <c r="H928">
        <v>1.0660000000000001</v>
      </c>
      <c r="I928">
        <f t="shared" si="14"/>
        <v>21.32</v>
      </c>
      <c r="J928">
        <v>22.385999999999999</v>
      </c>
    </row>
    <row r="929" spans="1:10" x14ac:dyDescent="0.35">
      <c r="A929" t="s">
        <v>25</v>
      </c>
      <c r="B929" t="s">
        <v>11</v>
      </c>
      <c r="C929" t="s">
        <v>12</v>
      </c>
      <c r="D929" t="s">
        <v>13</v>
      </c>
      <c r="E929" t="s">
        <v>18</v>
      </c>
      <c r="F929">
        <v>93.78</v>
      </c>
      <c r="G929">
        <v>3</v>
      </c>
      <c r="H929">
        <v>14.067</v>
      </c>
      <c r="I929">
        <f t="shared" si="14"/>
        <v>281.34000000000003</v>
      </c>
      <c r="J929">
        <v>295.40700000000004</v>
      </c>
    </row>
    <row r="930" spans="1:10" x14ac:dyDescent="0.35">
      <c r="A930" t="s">
        <v>25</v>
      </c>
      <c r="B930" t="s">
        <v>11</v>
      </c>
      <c r="C930" t="s">
        <v>12</v>
      </c>
      <c r="D930" t="s">
        <v>13</v>
      </c>
      <c r="E930" t="s">
        <v>18</v>
      </c>
      <c r="F930">
        <v>73.260000000000005</v>
      </c>
      <c r="G930">
        <v>1</v>
      </c>
      <c r="H930">
        <v>3.6629999999999998</v>
      </c>
      <c r="I930">
        <f t="shared" si="14"/>
        <v>73.260000000000005</v>
      </c>
      <c r="J930">
        <v>76.923000000000002</v>
      </c>
    </row>
    <row r="931" spans="1:10" x14ac:dyDescent="0.35">
      <c r="A931" t="s">
        <v>25</v>
      </c>
      <c r="B931" t="s">
        <v>11</v>
      </c>
      <c r="C931" t="s">
        <v>12</v>
      </c>
      <c r="D931" t="s">
        <v>17</v>
      </c>
      <c r="E931" t="s">
        <v>23</v>
      </c>
      <c r="F931">
        <v>74.099999999999994</v>
      </c>
      <c r="G931">
        <v>1</v>
      </c>
      <c r="H931">
        <v>3.7050000000000001</v>
      </c>
      <c r="I931">
        <f t="shared" si="14"/>
        <v>74.099999999999994</v>
      </c>
      <c r="J931">
        <v>77.804999999999993</v>
      </c>
    </row>
    <row r="932" spans="1:10" x14ac:dyDescent="0.35">
      <c r="A932" t="s">
        <v>25</v>
      </c>
      <c r="B932" t="s">
        <v>15</v>
      </c>
      <c r="C932" t="s">
        <v>16</v>
      </c>
      <c r="D932" t="s">
        <v>17</v>
      </c>
      <c r="E932" t="s">
        <v>14</v>
      </c>
      <c r="F932">
        <v>53.19</v>
      </c>
      <c r="G932">
        <v>7</v>
      </c>
      <c r="H932">
        <v>186.16499999999999</v>
      </c>
      <c r="I932">
        <f t="shared" si="14"/>
        <v>372.33</v>
      </c>
      <c r="J932">
        <v>558.495</v>
      </c>
    </row>
    <row r="933" spans="1:10" x14ac:dyDescent="0.35">
      <c r="A933" t="s">
        <v>25</v>
      </c>
      <c r="B933" t="s">
        <v>20</v>
      </c>
      <c r="C933" t="s">
        <v>21</v>
      </c>
      <c r="D933" t="s">
        <v>17</v>
      </c>
      <c r="E933" t="s">
        <v>22</v>
      </c>
      <c r="F933">
        <v>21.12</v>
      </c>
      <c r="G933">
        <v>8</v>
      </c>
      <c r="H933">
        <v>8.4480000000000004</v>
      </c>
      <c r="I933">
        <f t="shared" si="14"/>
        <v>168.96</v>
      </c>
      <c r="J933">
        <v>177.40800000000002</v>
      </c>
    </row>
    <row r="934" spans="1:10" x14ac:dyDescent="0.35">
      <c r="A934" t="s">
        <v>25</v>
      </c>
      <c r="B934" t="s">
        <v>20</v>
      </c>
      <c r="C934" t="s">
        <v>21</v>
      </c>
      <c r="D934" t="s">
        <v>17</v>
      </c>
      <c r="E934" t="s">
        <v>14</v>
      </c>
      <c r="F934">
        <v>57.59</v>
      </c>
      <c r="G934">
        <v>6</v>
      </c>
      <c r="H934">
        <v>17.277000000000001</v>
      </c>
      <c r="I934">
        <f t="shared" si="14"/>
        <v>345.54</v>
      </c>
      <c r="J934">
        <v>362.81700000000001</v>
      </c>
    </row>
    <row r="935" spans="1:10" x14ac:dyDescent="0.35">
      <c r="A935" t="s">
        <v>25</v>
      </c>
      <c r="B935" t="s">
        <v>11</v>
      </c>
      <c r="C935" t="s">
        <v>12</v>
      </c>
      <c r="D935" t="s">
        <v>13</v>
      </c>
      <c r="E935" t="s">
        <v>24</v>
      </c>
      <c r="F935">
        <v>12.76</v>
      </c>
      <c r="G935">
        <v>2</v>
      </c>
      <c r="H935">
        <v>1.276</v>
      </c>
      <c r="I935">
        <f t="shared" si="14"/>
        <v>25.52</v>
      </c>
      <c r="J935">
        <v>26.795999999999999</v>
      </c>
    </row>
    <row r="936" spans="1:10" x14ac:dyDescent="0.35">
      <c r="A936" t="s">
        <v>25</v>
      </c>
      <c r="B936" t="s">
        <v>15</v>
      </c>
      <c r="C936" t="s">
        <v>16</v>
      </c>
      <c r="D936" t="s">
        <v>13</v>
      </c>
      <c r="E936" t="s">
        <v>14</v>
      </c>
      <c r="F936">
        <v>33.81</v>
      </c>
      <c r="G936">
        <v>3</v>
      </c>
      <c r="H936">
        <v>5.0715000000000003</v>
      </c>
      <c r="I936">
        <f t="shared" si="14"/>
        <v>101.43</v>
      </c>
      <c r="J936">
        <v>106.50150000000001</v>
      </c>
    </row>
    <row r="937" spans="1:10" x14ac:dyDescent="0.35">
      <c r="A937" t="s">
        <v>25</v>
      </c>
      <c r="B937" t="s">
        <v>20</v>
      </c>
      <c r="C937" t="s">
        <v>21</v>
      </c>
      <c r="D937" t="s">
        <v>13</v>
      </c>
      <c r="E937" t="s">
        <v>24</v>
      </c>
      <c r="F937">
        <v>90.53</v>
      </c>
      <c r="G937">
        <v>8</v>
      </c>
      <c r="H937">
        <v>36.212000000000003</v>
      </c>
      <c r="I937">
        <f t="shared" si="14"/>
        <v>724.24</v>
      </c>
      <c r="J937">
        <v>760.452</v>
      </c>
    </row>
    <row r="938" spans="1:10" x14ac:dyDescent="0.35">
      <c r="A938" t="s">
        <v>25</v>
      </c>
      <c r="B938" t="s">
        <v>15</v>
      </c>
      <c r="C938" t="s">
        <v>16</v>
      </c>
      <c r="D938" t="s">
        <v>13</v>
      </c>
      <c r="E938" t="s">
        <v>22</v>
      </c>
      <c r="F938">
        <v>24.31</v>
      </c>
      <c r="G938">
        <v>3</v>
      </c>
      <c r="H938">
        <v>3.6465000000000001</v>
      </c>
      <c r="I938">
        <f t="shared" si="14"/>
        <v>72.929999999999993</v>
      </c>
      <c r="J938">
        <v>76.576499999999996</v>
      </c>
    </row>
    <row r="939" spans="1:10" x14ac:dyDescent="0.35">
      <c r="A939" t="s">
        <v>25</v>
      </c>
      <c r="B939" t="s">
        <v>11</v>
      </c>
      <c r="C939" t="s">
        <v>12</v>
      </c>
      <c r="D939" t="s">
        <v>17</v>
      </c>
      <c r="E939" t="s">
        <v>24</v>
      </c>
      <c r="F939">
        <v>64.59</v>
      </c>
      <c r="G939">
        <v>4</v>
      </c>
      <c r="H939">
        <v>12.917999999999999</v>
      </c>
      <c r="I939">
        <f t="shared" si="14"/>
        <v>258.36</v>
      </c>
      <c r="J939">
        <v>271.27800000000002</v>
      </c>
    </row>
    <row r="940" spans="1:10" x14ac:dyDescent="0.35">
      <c r="A940" t="s">
        <v>25</v>
      </c>
      <c r="B940" t="s">
        <v>11</v>
      </c>
      <c r="C940" t="s">
        <v>12</v>
      </c>
      <c r="D940" t="s">
        <v>13</v>
      </c>
      <c r="E940" t="s">
        <v>22</v>
      </c>
      <c r="F940">
        <v>24.82</v>
      </c>
      <c r="G940">
        <v>7</v>
      </c>
      <c r="H940">
        <v>8.6869999999999994</v>
      </c>
      <c r="I940">
        <f t="shared" si="14"/>
        <v>173.74</v>
      </c>
      <c r="J940">
        <v>182.42700000000002</v>
      </c>
    </row>
    <row r="941" spans="1:10" x14ac:dyDescent="0.35">
      <c r="A941" t="s">
        <v>25</v>
      </c>
      <c r="B941" t="s">
        <v>15</v>
      </c>
      <c r="C941" t="s">
        <v>16</v>
      </c>
      <c r="D941" t="s">
        <v>17</v>
      </c>
      <c r="E941" t="s">
        <v>23</v>
      </c>
      <c r="F941">
        <v>56.5</v>
      </c>
      <c r="G941">
        <v>1</v>
      </c>
      <c r="H941">
        <v>2.8250000000000002</v>
      </c>
      <c r="I941">
        <f t="shared" si="14"/>
        <v>56.5</v>
      </c>
      <c r="J941">
        <v>59.325000000000003</v>
      </c>
    </row>
    <row r="942" spans="1:10" x14ac:dyDescent="0.35">
      <c r="A942" t="s">
        <v>25</v>
      </c>
      <c r="B942" t="s">
        <v>11</v>
      </c>
      <c r="C942" t="s">
        <v>12</v>
      </c>
      <c r="D942" t="s">
        <v>13</v>
      </c>
      <c r="E942" t="s">
        <v>24</v>
      </c>
      <c r="F942">
        <v>89.06</v>
      </c>
      <c r="G942">
        <v>6</v>
      </c>
      <c r="H942">
        <v>26.718</v>
      </c>
      <c r="I942">
        <f t="shared" si="14"/>
        <v>534.36</v>
      </c>
      <c r="J942">
        <v>561.07799999999997</v>
      </c>
    </row>
    <row r="943" spans="1:10" x14ac:dyDescent="0.35">
      <c r="A943" t="s">
        <v>25</v>
      </c>
      <c r="B943" t="s">
        <v>11</v>
      </c>
      <c r="C943" t="s">
        <v>12</v>
      </c>
      <c r="D943" t="s">
        <v>13</v>
      </c>
      <c r="E943" t="s">
        <v>19</v>
      </c>
      <c r="F943">
        <v>23.29</v>
      </c>
      <c r="G943">
        <v>4</v>
      </c>
      <c r="H943">
        <v>4.6580000000000004</v>
      </c>
      <c r="I943">
        <f t="shared" si="14"/>
        <v>93.16</v>
      </c>
      <c r="J943">
        <v>97.817999999999998</v>
      </c>
    </row>
    <row r="944" spans="1:10" x14ac:dyDescent="0.35">
      <c r="A944" t="s">
        <v>25</v>
      </c>
      <c r="B944" t="s">
        <v>15</v>
      </c>
      <c r="C944" t="s">
        <v>16</v>
      </c>
      <c r="D944" t="s">
        <v>17</v>
      </c>
      <c r="E944" t="s">
        <v>19</v>
      </c>
      <c r="F944">
        <v>65.260000000000005</v>
      </c>
      <c r="G944">
        <v>8</v>
      </c>
      <c r="H944">
        <v>26.103999999999999</v>
      </c>
      <c r="I944">
        <f t="shared" si="14"/>
        <v>522.08000000000004</v>
      </c>
      <c r="J944">
        <v>548.18400000000008</v>
      </c>
    </row>
    <row r="945" spans="1:10" x14ac:dyDescent="0.35">
      <c r="A945" t="s">
        <v>25</v>
      </c>
      <c r="B945" t="s">
        <v>15</v>
      </c>
      <c r="C945" t="s">
        <v>16</v>
      </c>
      <c r="D945" t="s">
        <v>13</v>
      </c>
      <c r="E945" t="s">
        <v>23</v>
      </c>
      <c r="F945">
        <v>52.35</v>
      </c>
      <c r="G945">
        <v>1</v>
      </c>
      <c r="H945">
        <v>2.6175000000000002</v>
      </c>
      <c r="I945">
        <f t="shared" si="14"/>
        <v>52.35</v>
      </c>
      <c r="J945">
        <v>54.967500000000001</v>
      </c>
    </row>
    <row r="946" spans="1:10" x14ac:dyDescent="0.35">
      <c r="A946" t="s">
        <v>25</v>
      </c>
      <c r="B946" t="s">
        <v>20</v>
      </c>
      <c r="C946" t="s">
        <v>21</v>
      </c>
      <c r="D946" t="s">
        <v>13</v>
      </c>
      <c r="E946" t="s">
        <v>18</v>
      </c>
      <c r="F946">
        <v>39.75</v>
      </c>
      <c r="G946">
        <v>1</v>
      </c>
      <c r="H946">
        <v>1.9875</v>
      </c>
      <c r="I946">
        <f t="shared" si="14"/>
        <v>39.75</v>
      </c>
      <c r="J946">
        <v>41.737499999999997</v>
      </c>
    </row>
    <row r="947" spans="1:10" x14ac:dyDescent="0.35">
      <c r="A947" t="s">
        <v>25</v>
      </c>
      <c r="B947" t="s">
        <v>20</v>
      </c>
      <c r="C947" t="s">
        <v>21</v>
      </c>
      <c r="D947" t="s">
        <v>13</v>
      </c>
      <c r="E947" t="s">
        <v>24</v>
      </c>
      <c r="F947">
        <v>31.99</v>
      </c>
      <c r="G947">
        <v>10</v>
      </c>
      <c r="H947">
        <v>15.994999999999999</v>
      </c>
      <c r="I947">
        <f t="shared" si="14"/>
        <v>319.89999999999998</v>
      </c>
      <c r="J947">
        <v>335.89499999999998</v>
      </c>
    </row>
    <row r="948" spans="1:10" x14ac:dyDescent="0.35">
      <c r="A948" t="s">
        <v>25</v>
      </c>
      <c r="B948" t="s">
        <v>11</v>
      </c>
      <c r="C948" t="s">
        <v>12</v>
      </c>
      <c r="D948" t="s">
        <v>17</v>
      </c>
      <c r="E948" t="s">
        <v>24</v>
      </c>
      <c r="F948">
        <v>45.58</v>
      </c>
      <c r="G948">
        <v>7</v>
      </c>
      <c r="H948">
        <v>15.952999999999999</v>
      </c>
      <c r="I948">
        <f t="shared" si="14"/>
        <v>319.06</v>
      </c>
      <c r="J948">
        <v>335.01299999999998</v>
      </c>
    </row>
    <row r="949" spans="1:10" x14ac:dyDescent="0.35">
      <c r="A949" t="s">
        <v>25</v>
      </c>
      <c r="B949" t="s">
        <v>11</v>
      </c>
      <c r="C949" t="s">
        <v>12</v>
      </c>
      <c r="D949" t="s">
        <v>13</v>
      </c>
      <c r="E949" t="s">
        <v>22</v>
      </c>
      <c r="F949">
        <v>87.9</v>
      </c>
      <c r="G949">
        <v>1</v>
      </c>
      <c r="H949">
        <v>4.3949999999999996</v>
      </c>
      <c r="I949">
        <f t="shared" si="14"/>
        <v>87.9</v>
      </c>
      <c r="J949">
        <v>92.295000000000002</v>
      </c>
    </row>
    <row r="950" spans="1:10" x14ac:dyDescent="0.35">
      <c r="A950" t="s">
        <v>25</v>
      </c>
      <c r="B950" t="s">
        <v>11</v>
      </c>
      <c r="C950" t="s">
        <v>12</v>
      </c>
      <c r="D950" t="s">
        <v>13</v>
      </c>
      <c r="E950" t="s">
        <v>24</v>
      </c>
      <c r="F950">
        <v>76.92</v>
      </c>
      <c r="G950">
        <v>10</v>
      </c>
      <c r="H950">
        <v>38.46</v>
      </c>
      <c r="I950">
        <f t="shared" si="14"/>
        <v>769.2</v>
      </c>
      <c r="J950">
        <v>807.66000000000008</v>
      </c>
    </row>
    <row r="951" spans="1:10" x14ac:dyDescent="0.35">
      <c r="A951" t="s">
        <v>25</v>
      </c>
      <c r="B951" t="s">
        <v>20</v>
      </c>
      <c r="C951" t="s">
        <v>21</v>
      </c>
      <c r="D951" t="s">
        <v>17</v>
      </c>
      <c r="E951" t="s">
        <v>18</v>
      </c>
      <c r="F951">
        <v>28.38</v>
      </c>
      <c r="G951">
        <v>5</v>
      </c>
      <c r="H951">
        <v>7.0949999999999998</v>
      </c>
      <c r="I951">
        <f t="shared" si="14"/>
        <v>141.9</v>
      </c>
      <c r="J951">
        <v>148.995</v>
      </c>
    </row>
    <row r="952" spans="1:10" x14ac:dyDescent="0.35">
      <c r="A952" t="s">
        <v>25</v>
      </c>
      <c r="B952" t="s">
        <v>20</v>
      </c>
      <c r="C952" t="s">
        <v>21</v>
      </c>
      <c r="D952" t="s">
        <v>13</v>
      </c>
      <c r="E952" t="s">
        <v>18</v>
      </c>
      <c r="F952">
        <v>50.45</v>
      </c>
      <c r="G952">
        <v>6</v>
      </c>
      <c r="H952">
        <v>15.135</v>
      </c>
      <c r="I952">
        <f t="shared" si="14"/>
        <v>302.70000000000005</v>
      </c>
      <c r="J952">
        <v>317.83500000000004</v>
      </c>
    </row>
    <row r="953" spans="1:10" x14ac:dyDescent="0.35">
      <c r="A953" t="s">
        <v>25</v>
      </c>
      <c r="B953" t="s">
        <v>20</v>
      </c>
      <c r="C953" t="s">
        <v>21</v>
      </c>
      <c r="D953" t="s">
        <v>17</v>
      </c>
      <c r="E953" t="s">
        <v>14</v>
      </c>
      <c r="F953">
        <v>99.16</v>
      </c>
      <c r="G953">
        <v>8</v>
      </c>
      <c r="H953">
        <v>39.664000000000001</v>
      </c>
      <c r="I953">
        <f t="shared" si="14"/>
        <v>793.28</v>
      </c>
      <c r="J953">
        <v>832.94399999999996</v>
      </c>
    </row>
    <row r="954" spans="1:10" x14ac:dyDescent="0.35">
      <c r="A954" t="s">
        <v>25</v>
      </c>
      <c r="B954" t="s">
        <v>15</v>
      </c>
      <c r="C954" t="s">
        <v>16</v>
      </c>
      <c r="D954" t="s">
        <v>17</v>
      </c>
      <c r="E954" t="s">
        <v>23</v>
      </c>
      <c r="F954">
        <v>60.74</v>
      </c>
      <c r="G954">
        <v>7</v>
      </c>
      <c r="H954">
        <v>21.259</v>
      </c>
      <c r="I954">
        <f t="shared" si="14"/>
        <v>425.18</v>
      </c>
      <c r="J954">
        <v>446.43900000000002</v>
      </c>
    </row>
    <row r="955" spans="1:10" x14ac:dyDescent="0.35">
      <c r="A955" t="s">
        <v>25</v>
      </c>
      <c r="B955" t="s">
        <v>15</v>
      </c>
      <c r="C955" t="s">
        <v>16</v>
      </c>
      <c r="D955" t="s">
        <v>13</v>
      </c>
      <c r="E955" t="s">
        <v>14</v>
      </c>
      <c r="F955">
        <v>85.6</v>
      </c>
      <c r="G955">
        <v>7</v>
      </c>
      <c r="H955">
        <v>29.96</v>
      </c>
      <c r="I955">
        <f t="shared" si="14"/>
        <v>599.19999999999993</v>
      </c>
      <c r="J955">
        <v>629.16</v>
      </c>
    </row>
    <row r="956" spans="1:10" x14ac:dyDescent="0.35">
      <c r="A956" t="s">
        <v>25</v>
      </c>
      <c r="B956" t="s">
        <v>11</v>
      </c>
      <c r="C956" t="s">
        <v>12</v>
      </c>
      <c r="D956" t="s">
        <v>13</v>
      </c>
      <c r="E956" t="s">
        <v>22</v>
      </c>
      <c r="F956">
        <v>35.04</v>
      </c>
      <c r="G956">
        <v>9</v>
      </c>
      <c r="H956">
        <v>15.768000000000001</v>
      </c>
      <c r="I956">
        <f t="shared" si="14"/>
        <v>315.36</v>
      </c>
      <c r="J956">
        <v>331.12800000000004</v>
      </c>
    </row>
    <row r="957" spans="1:10" x14ac:dyDescent="0.35">
      <c r="A957" t="s">
        <v>25</v>
      </c>
      <c r="B957" t="s">
        <v>20</v>
      </c>
      <c r="C957" t="s">
        <v>21</v>
      </c>
      <c r="D957" t="s">
        <v>17</v>
      </c>
      <c r="E957" t="s">
        <v>19</v>
      </c>
      <c r="F957">
        <v>45.97</v>
      </c>
      <c r="G957">
        <v>4</v>
      </c>
      <c r="H957">
        <v>9.1940000000000008</v>
      </c>
      <c r="I957">
        <f t="shared" si="14"/>
        <v>183.88</v>
      </c>
      <c r="J957">
        <v>193.07399999999998</v>
      </c>
    </row>
    <row r="958" spans="1:10" x14ac:dyDescent="0.35">
      <c r="A958" t="s">
        <v>25</v>
      </c>
      <c r="B958" t="s">
        <v>11</v>
      </c>
      <c r="C958" t="s">
        <v>12</v>
      </c>
      <c r="D958" t="s">
        <v>17</v>
      </c>
      <c r="E958" t="s">
        <v>22</v>
      </c>
      <c r="F958">
        <v>11.53</v>
      </c>
      <c r="G958">
        <v>7</v>
      </c>
      <c r="H958">
        <v>4.0354999999999999</v>
      </c>
      <c r="I958">
        <f t="shared" si="14"/>
        <v>80.709999999999994</v>
      </c>
      <c r="J958">
        <v>84.745499999999993</v>
      </c>
    </row>
    <row r="959" spans="1:10" x14ac:dyDescent="0.35">
      <c r="A959" t="s">
        <v>25</v>
      </c>
      <c r="B959" t="s">
        <v>15</v>
      </c>
      <c r="C959" t="s">
        <v>16</v>
      </c>
      <c r="D959" t="s">
        <v>17</v>
      </c>
      <c r="E959" t="s">
        <v>14</v>
      </c>
      <c r="F959">
        <v>84.61</v>
      </c>
      <c r="G959">
        <v>10</v>
      </c>
      <c r="H959">
        <v>42.305</v>
      </c>
      <c r="I959">
        <f t="shared" si="14"/>
        <v>846.1</v>
      </c>
      <c r="J959">
        <v>888.40499999999997</v>
      </c>
    </row>
    <row r="960" spans="1:10" x14ac:dyDescent="0.35">
      <c r="A960" t="s">
        <v>25</v>
      </c>
      <c r="B960" t="s">
        <v>11</v>
      </c>
      <c r="C960" t="s">
        <v>12</v>
      </c>
      <c r="D960" t="s">
        <v>13</v>
      </c>
      <c r="E960" t="s">
        <v>23</v>
      </c>
      <c r="F960">
        <v>51.34</v>
      </c>
      <c r="G960">
        <v>8</v>
      </c>
      <c r="H960">
        <v>20.536000000000001</v>
      </c>
      <c r="I960">
        <f t="shared" si="14"/>
        <v>410.72</v>
      </c>
      <c r="J960">
        <v>431.25600000000003</v>
      </c>
    </row>
    <row r="961" spans="1:10" x14ac:dyDescent="0.35">
      <c r="A961" t="s">
        <v>25</v>
      </c>
      <c r="B961" t="s">
        <v>15</v>
      </c>
      <c r="C961" t="s">
        <v>16</v>
      </c>
      <c r="D961" t="s">
        <v>13</v>
      </c>
      <c r="E961" t="s">
        <v>24</v>
      </c>
      <c r="F961">
        <v>42.85</v>
      </c>
      <c r="G961">
        <v>1</v>
      </c>
      <c r="H961">
        <v>2.1425000000000001</v>
      </c>
      <c r="I961">
        <f t="shared" si="14"/>
        <v>42.85</v>
      </c>
      <c r="J961">
        <v>44.9925</v>
      </c>
    </row>
    <row r="962" spans="1:10" x14ac:dyDescent="0.35">
      <c r="A962" t="s">
        <v>25</v>
      </c>
      <c r="B962" t="s">
        <v>20</v>
      </c>
      <c r="C962" t="s">
        <v>21</v>
      </c>
      <c r="D962" t="s">
        <v>17</v>
      </c>
      <c r="E962" t="s">
        <v>19</v>
      </c>
      <c r="F962">
        <v>68.97</v>
      </c>
      <c r="G962">
        <v>3</v>
      </c>
      <c r="H962">
        <v>10.345499999999999</v>
      </c>
      <c r="I962">
        <f t="shared" si="14"/>
        <v>206.91</v>
      </c>
      <c r="J962">
        <v>217.25549999999998</v>
      </c>
    </row>
    <row r="963" spans="1:10" x14ac:dyDescent="0.35">
      <c r="A963" t="s">
        <v>25</v>
      </c>
      <c r="B963" t="s">
        <v>20</v>
      </c>
      <c r="C963" t="s">
        <v>21</v>
      </c>
      <c r="D963" t="s">
        <v>13</v>
      </c>
      <c r="E963" t="s">
        <v>24</v>
      </c>
      <c r="F963">
        <v>88.31</v>
      </c>
      <c r="G963">
        <v>1</v>
      </c>
      <c r="H963">
        <v>4.4154999999999998</v>
      </c>
      <c r="I963">
        <f t="shared" ref="I963:I1001" si="15">F963*G963</f>
        <v>88.31</v>
      </c>
      <c r="J963">
        <v>92.725499999999997</v>
      </c>
    </row>
    <row r="964" spans="1:10" x14ac:dyDescent="0.35">
      <c r="A964" t="s">
        <v>25</v>
      </c>
      <c r="B964" t="s">
        <v>20</v>
      </c>
      <c r="C964" t="s">
        <v>21</v>
      </c>
      <c r="D964" t="s">
        <v>17</v>
      </c>
      <c r="E964" t="s">
        <v>24</v>
      </c>
      <c r="F964">
        <v>25.31</v>
      </c>
      <c r="G964">
        <v>2</v>
      </c>
      <c r="H964">
        <v>2.5310000000000001</v>
      </c>
      <c r="I964">
        <f t="shared" si="15"/>
        <v>50.62</v>
      </c>
      <c r="J964">
        <v>53.150999999999996</v>
      </c>
    </row>
    <row r="965" spans="1:10" x14ac:dyDescent="0.35">
      <c r="A965" t="s">
        <v>25</v>
      </c>
      <c r="B965" t="s">
        <v>20</v>
      </c>
      <c r="C965" t="s">
        <v>21</v>
      </c>
      <c r="D965" t="s">
        <v>17</v>
      </c>
      <c r="E965" t="s">
        <v>19</v>
      </c>
      <c r="F965">
        <v>99.92</v>
      </c>
      <c r="G965">
        <v>6</v>
      </c>
      <c r="H965">
        <v>29.975999999999999</v>
      </c>
      <c r="I965">
        <f t="shared" si="15"/>
        <v>599.52</v>
      </c>
      <c r="J965">
        <v>629.49599999999998</v>
      </c>
    </row>
    <row r="966" spans="1:10" x14ac:dyDescent="0.35">
      <c r="A966" t="s">
        <v>25</v>
      </c>
      <c r="B966" t="s">
        <v>15</v>
      </c>
      <c r="C966" t="s">
        <v>16</v>
      </c>
      <c r="D966" t="s">
        <v>17</v>
      </c>
      <c r="E966" t="s">
        <v>14</v>
      </c>
      <c r="F966">
        <v>64.08</v>
      </c>
      <c r="G966">
        <v>7</v>
      </c>
      <c r="H966">
        <v>22.428000000000001</v>
      </c>
      <c r="I966">
        <f t="shared" si="15"/>
        <v>448.56</v>
      </c>
      <c r="J966">
        <v>470.988</v>
      </c>
    </row>
    <row r="967" spans="1:10" x14ac:dyDescent="0.35">
      <c r="A967" t="s">
        <v>25</v>
      </c>
      <c r="B967" t="s">
        <v>15</v>
      </c>
      <c r="C967" t="s">
        <v>16</v>
      </c>
      <c r="D967" t="s">
        <v>13</v>
      </c>
      <c r="E967" t="s">
        <v>19</v>
      </c>
      <c r="F967">
        <v>85.72</v>
      </c>
      <c r="G967">
        <v>3</v>
      </c>
      <c r="H967">
        <v>12.858000000000001</v>
      </c>
      <c r="I967">
        <f t="shared" si="15"/>
        <v>257.15999999999997</v>
      </c>
      <c r="J967">
        <v>270.01799999999997</v>
      </c>
    </row>
    <row r="968" spans="1:10" x14ac:dyDescent="0.35">
      <c r="A968" t="s">
        <v>25</v>
      </c>
      <c r="B968" t="s">
        <v>11</v>
      </c>
      <c r="C968" t="s">
        <v>12</v>
      </c>
      <c r="D968" t="s">
        <v>17</v>
      </c>
      <c r="E968" t="s">
        <v>22</v>
      </c>
      <c r="F968">
        <v>66.52</v>
      </c>
      <c r="G968">
        <v>4</v>
      </c>
      <c r="H968">
        <v>13.304</v>
      </c>
      <c r="I968">
        <f t="shared" si="15"/>
        <v>266.08</v>
      </c>
      <c r="J968">
        <v>279.38399999999996</v>
      </c>
    </row>
    <row r="969" spans="1:10" x14ac:dyDescent="0.35">
      <c r="A969" t="s">
        <v>25</v>
      </c>
      <c r="B969" t="s">
        <v>15</v>
      </c>
      <c r="C969" t="s">
        <v>16</v>
      </c>
      <c r="D969" t="s">
        <v>13</v>
      </c>
      <c r="E969" t="s">
        <v>23</v>
      </c>
      <c r="F969">
        <v>99.82</v>
      </c>
      <c r="G969">
        <v>9</v>
      </c>
      <c r="H969">
        <v>44.918999999999997</v>
      </c>
      <c r="I969">
        <f t="shared" si="15"/>
        <v>898.37999999999988</v>
      </c>
      <c r="J969">
        <v>943.29899999999986</v>
      </c>
    </row>
    <row r="970" spans="1:10" x14ac:dyDescent="0.35">
      <c r="A970" t="s">
        <v>25</v>
      </c>
      <c r="B970" t="s">
        <v>11</v>
      </c>
      <c r="C970" t="s">
        <v>12</v>
      </c>
      <c r="D970" t="s">
        <v>17</v>
      </c>
      <c r="E970" t="s">
        <v>14</v>
      </c>
      <c r="F970">
        <v>50.79</v>
      </c>
      <c r="G970">
        <v>5</v>
      </c>
      <c r="H970">
        <v>12.6975</v>
      </c>
      <c r="I970">
        <f t="shared" si="15"/>
        <v>253.95</v>
      </c>
      <c r="J970">
        <v>266.64749999999998</v>
      </c>
    </row>
    <row r="971" spans="1:10" x14ac:dyDescent="0.35">
      <c r="A971" t="s">
        <v>25</v>
      </c>
      <c r="B971" t="s">
        <v>11</v>
      </c>
      <c r="C971" t="s">
        <v>12</v>
      </c>
      <c r="D971" t="s">
        <v>13</v>
      </c>
      <c r="E971" t="s">
        <v>14</v>
      </c>
      <c r="F971">
        <v>10.08</v>
      </c>
      <c r="G971">
        <v>7</v>
      </c>
      <c r="H971">
        <v>3.528</v>
      </c>
      <c r="I971">
        <f t="shared" si="15"/>
        <v>70.56</v>
      </c>
      <c r="J971">
        <v>74.088000000000008</v>
      </c>
    </row>
    <row r="972" spans="1:10" x14ac:dyDescent="0.35">
      <c r="A972" t="s">
        <v>25</v>
      </c>
      <c r="B972" t="s">
        <v>15</v>
      </c>
      <c r="C972" t="s">
        <v>16</v>
      </c>
      <c r="D972" t="s">
        <v>13</v>
      </c>
      <c r="E972" t="s">
        <v>18</v>
      </c>
      <c r="F972">
        <v>84.25</v>
      </c>
      <c r="G972">
        <v>2</v>
      </c>
      <c r="H972">
        <v>8.4250000000000007</v>
      </c>
      <c r="I972">
        <f t="shared" si="15"/>
        <v>168.5</v>
      </c>
      <c r="J972">
        <v>176.92500000000001</v>
      </c>
    </row>
    <row r="973" spans="1:10" x14ac:dyDescent="0.35">
      <c r="A973" t="s">
        <v>25</v>
      </c>
      <c r="B973" t="s">
        <v>20</v>
      </c>
      <c r="C973" t="s">
        <v>21</v>
      </c>
      <c r="D973" t="s">
        <v>13</v>
      </c>
      <c r="E973" t="s">
        <v>23</v>
      </c>
      <c r="F973">
        <v>53.78</v>
      </c>
      <c r="G973">
        <v>1</v>
      </c>
      <c r="H973">
        <v>2.6890000000000001</v>
      </c>
      <c r="I973">
        <f t="shared" si="15"/>
        <v>53.78</v>
      </c>
      <c r="J973">
        <v>56.469000000000001</v>
      </c>
    </row>
    <row r="974" spans="1:10" x14ac:dyDescent="0.35">
      <c r="A974" t="s">
        <v>25</v>
      </c>
      <c r="B974" t="s">
        <v>15</v>
      </c>
      <c r="C974" t="s">
        <v>16</v>
      </c>
      <c r="D974" t="s">
        <v>13</v>
      </c>
      <c r="E974" t="s">
        <v>19</v>
      </c>
      <c r="F974">
        <v>35.81</v>
      </c>
      <c r="G974">
        <v>5</v>
      </c>
      <c r="H974">
        <v>8.9525000000000006</v>
      </c>
      <c r="I974">
        <f t="shared" si="15"/>
        <v>179.05</v>
      </c>
      <c r="J974">
        <v>188.0025</v>
      </c>
    </row>
    <row r="975" spans="1:10" x14ac:dyDescent="0.35">
      <c r="A975" t="s">
        <v>25</v>
      </c>
      <c r="B975" t="s">
        <v>20</v>
      </c>
      <c r="C975" t="s">
        <v>21</v>
      </c>
      <c r="D975" t="s">
        <v>13</v>
      </c>
      <c r="E975" t="s">
        <v>14</v>
      </c>
      <c r="F975">
        <v>39.909999999999997</v>
      </c>
      <c r="G975">
        <v>3</v>
      </c>
      <c r="H975">
        <v>5.9865000000000004</v>
      </c>
      <c r="I975">
        <f t="shared" si="15"/>
        <v>119.72999999999999</v>
      </c>
      <c r="J975">
        <v>125.7165</v>
      </c>
    </row>
    <row r="976" spans="1:10" x14ac:dyDescent="0.35">
      <c r="A976" t="s">
        <v>25</v>
      </c>
      <c r="B976" t="s">
        <v>20</v>
      </c>
      <c r="C976" t="s">
        <v>21</v>
      </c>
      <c r="D976" t="s">
        <v>13</v>
      </c>
      <c r="E976" t="s">
        <v>19</v>
      </c>
      <c r="F976">
        <v>65.91</v>
      </c>
      <c r="G976">
        <v>6</v>
      </c>
      <c r="H976">
        <v>19.773</v>
      </c>
      <c r="I976">
        <f t="shared" si="15"/>
        <v>395.46</v>
      </c>
      <c r="J976">
        <v>415.233</v>
      </c>
    </row>
    <row r="977" spans="1:10" x14ac:dyDescent="0.35">
      <c r="A977" t="s">
        <v>25</v>
      </c>
      <c r="B977" t="s">
        <v>15</v>
      </c>
      <c r="C977" t="s">
        <v>16</v>
      </c>
      <c r="D977" t="s">
        <v>13</v>
      </c>
      <c r="E977" t="s">
        <v>22</v>
      </c>
      <c r="F977">
        <v>50.49</v>
      </c>
      <c r="G977">
        <v>9</v>
      </c>
      <c r="H977">
        <v>227.20500000000001</v>
      </c>
      <c r="I977">
        <f t="shared" si="15"/>
        <v>454.41</v>
      </c>
      <c r="J977">
        <v>681.61500000000001</v>
      </c>
    </row>
    <row r="978" spans="1:10" x14ac:dyDescent="0.35">
      <c r="A978" t="s">
        <v>25</v>
      </c>
      <c r="B978" t="s">
        <v>20</v>
      </c>
      <c r="C978" t="s">
        <v>21</v>
      </c>
      <c r="D978" t="s">
        <v>17</v>
      </c>
      <c r="E978" t="s">
        <v>18</v>
      </c>
      <c r="F978">
        <v>46.02</v>
      </c>
      <c r="G978">
        <v>6</v>
      </c>
      <c r="H978">
        <v>13.805999999999999</v>
      </c>
      <c r="I978">
        <f t="shared" si="15"/>
        <v>276.12</v>
      </c>
      <c r="J978">
        <v>289.92599999999999</v>
      </c>
    </row>
    <row r="979" spans="1:10" x14ac:dyDescent="0.35">
      <c r="A979" t="s">
        <v>25</v>
      </c>
      <c r="B979" t="s">
        <v>15</v>
      </c>
      <c r="C979" t="s">
        <v>16</v>
      </c>
      <c r="D979" t="s">
        <v>13</v>
      </c>
      <c r="E979" t="s">
        <v>23</v>
      </c>
      <c r="F979">
        <v>91.98</v>
      </c>
      <c r="G979">
        <v>1</v>
      </c>
      <c r="H979">
        <v>4.5990000000000002</v>
      </c>
      <c r="I979">
        <f t="shared" si="15"/>
        <v>91.98</v>
      </c>
      <c r="J979">
        <v>96.579000000000008</v>
      </c>
    </row>
    <row r="980" spans="1:10" x14ac:dyDescent="0.35">
      <c r="A980" t="s">
        <v>25</v>
      </c>
      <c r="B980" t="s">
        <v>11</v>
      </c>
      <c r="C980" t="s">
        <v>12</v>
      </c>
      <c r="D980" t="s">
        <v>13</v>
      </c>
      <c r="E980" t="s">
        <v>18</v>
      </c>
      <c r="F980">
        <v>20.89</v>
      </c>
      <c r="G980">
        <v>2</v>
      </c>
      <c r="H980">
        <v>2.089</v>
      </c>
      <c r="I980">
        <f t="shared" si="15"/>
        <v>41.78</v>
      </c>
      <c r="J980">
        <v>43.869</v>
      </c>
    </row>
    <row r="981" spans="1:10" x14ac:dyDescent="0.35">
      <c r="A981" t="s">
        <v>25</v>
      </c>
      <c r="B981" t="s">
        <v>15</v>
      </c>
      <c r="C981" t="s">
        <v>16</v>
      </c>
      <c r="D981" t="s">
        <v>13</v>
      </c>
      <c r="E981" t="s">
        <v>18</v>
      </c>
      <c r="F981">
        <v>96.82</v>
      </c>
      <c r="G981">
        <v>3</v>
      </c>
      <c r="H981">
        <v>14.523</v>
      </c>
      <c r="I981">
        <f t="shared" si="15"/>
        <v>290.45999999999998</v>
      </c>
      <c r="J981">
        <v>304.983</v>
      </c>
    </row>
    <row r="982" spans="1:10" x14ac:dyDescent="0.35">
      <c r="A982" t="s">
        <v>25</v>
      </c>
      <c r="B982" t="s">
        <v>20</v>
      </c>
      <c r="C982" t="s">
        <v>21</v>
      </c>
      <c r="D982" t="s">
        <v>17</v>
      </c>
      <c r="E982" t="s">
        <v>22</v>
      </c>
      <c r="F982">
        <v>33.33</v>
      </c>
      <c r="G982">
        <v>2</v>
      </c>
      <c r="H982">
        <v>3.3330000000000002</v>
      </c>
      <c r="I982">
        <f t="shared" si="15"/>
        <v>66.66</v>
      </c>
      <c r="J982">
        <v>69.992999999999995</v>
      </c>
    </row>
    <row r="983" spans="1:10" x14ac:dyDescent="0.35">
      <c r="A983" t="s">
        <v>25</v>
      </c>
      <c r="B983" t="s">
        <v>11</v>
      </c>
      <c r="C983" t="s">
        <v>12</v>
      </c>
      <c r="D983" t="s">
        <v>13</v>
      </c>
      <c r="E983" t="s">
        <v>19</v>
      </c>
      <c r="F983">
        <v>81.010000000000005</v>
      </c>
      <c r="G983">
        <v>3</v>
      </c>
      <c r="H983">
        <v>12.1515</v>
      </c>
      <c r="I983">
        <f t="shared" si="15"/>
        <v>243.03000000000003</v>
      </c>
      <c r="J983">
        <v>255.18150000000003</v>
      </c>
    </row>
    <row r="984" spans="1:10" x14ac:dyDescent="0.35">
      <c r="A984" t="s">
        <v>25</v>
      </c>
      <c r="B984" t="s">
        <v>20</v>
      </c>
      <c r="C984" t="s">
        <v>21</v>
      </c>
      <c r="D984" t="s">
        <v>13</v>
      </c>
      <c r="E984" t="s">
        <v>19</v>
      </c>
      <c r="F984">
        <v>36.909999999999997</v>
      </c>
      <c r="G984">
        <v>7</v>
      </c>
      <c r="H984">
        <v>12.9185</v>
      </c>
      <c r="I984">
        <f t="shared" si="15"/>
        <v>258.37</v>
      </c>
      <c r="J984">
        <v>271.2885</v>
      </c>
    </row>
    <row r="985" spans="1:10" x14ac:dyDescent="0.35">
      <c r="A985" t="s">
        <v>25</v>
      </c>
      <c r="B985" t="s">
        <v>20</v>
      </c>
      <c r="C985" t="s">
        <v>21</v>
      </c>
      <c r="D985" t="s">
        <v>17</v>
      </c>
      <c r="E985" t="s">
        <v>18</v>
      </c>
      <c r="F985">
        <v>87.08</v>
      </c>
      <c r="G985">
        <v>7</v>
      </c>
      <c r="H985">
        <v>30.478000000000002</v>
      </c>
      <c r="I985">
        <f t="shared" si="15"/>
        <v>609.55999999999995</v>
      </c>
      <c r="J985">
        <v>640.0379999999999</v>
      </c>
    </row>
    <row r="986" spans="1:10" x14ac:dyDescent="0.35">
      <c r="A986" t="s">
        <v>25</v>
      </c>
      <c r="B986" t="s">
        <v>11</v>
      </c>
      <c r="C986" t="s">
        <v>12</v>
      </c>
      <c r="D986" t="s">
        <v>17</v>
      </c>
      <c r="E986" t="s">
        <v>19</v>
      </c>
      <c r="F986">
        <v>80.08</v>
      </c>
      <c r="G986">
        <v>3</v>
      </c>
      <c r="H986">
        <v>12.012</v>
      </c>
      <c r="I986">
        <f t="shared" si="15"/>
        <v>240.24</v>
      </c>
      <c r="J986">
        <v>252.25200000000001</v>
      </c>
    </row>
    <row r="987" spans="1:10" x14ac:dyDescent="0.35">
      <c r="A987" t="s">
        <v>25</v>
      </c>
      <c r="B987" t="s">
        <v>15</v>
      </c>
      <c r="C987" t="s">
        <v>16</v>
      </c>
      <c r="D987" t="s">
        <v>17</v>
      </c>
      <c r="E987" t="s">
        <v>23</v>
      </c>
      <c r="F987">
        <v>86.13</v>
      </c>
      <c r="G987">
        <v>2</v>
      </c>
      <c r="H987">
        <v>8.6129999999999995</v>
      </c>
      <c r="I987">
        <f t="shared" si="15"/>
        <v>172.26</v>
      </c>
      <c r="J987">
        <v>180.87299999999999</v>
      </c>
    </row>
    <row r="988" spans="1:10" x14ac:dyDescent="0.35">
      <c r="A988" t="s">
        <v>25</v>
      </c>
      <c r="B988" t="s">
        <v>20</v>
      </c>
      <c r="C988" t="s">
        <v>21</v>
      </c>
      <c r="D988" t="s">
        <v>13</v>
      </c>
      <c r="E988" t="s">
        <v>23</v>
      </c>
      <c r="F988">
        <v>49.92</v>
      </c>
      <c r="G988">
        <v>2</v>
      </c>
      <c r="H988">
        <v>4.992</v>
      </c>
      <c r="I988">
        <f t="shared" si="15"/>
        <v>99.84</v>
      </c>
      <c r="J988">
        <v>104.83200000000001</v>
      </c>
    </row>
    <row r="989" spans="1:10" x14ac:dyDescent="0.35">
      <c r="A989" t="s">
        <v>25</v>
      </c>
      <c r="B989" t="s">
        <v>20</v>
      </c>
      <c r="C989" t="s">
        <v>21</v>
      </c>
      <c r="D989" t="s">
        <v>13</v>
      </c>
      <c r="E989" t="s">
        <v>22</v>
      </c>
      <c r="F989">
        <v>26.6</v>
      </c>
      <c r="G989">
        <v>6</v>
      </c>
      <c r="H989">
        <v>7.98</v>
      </c>
      <c r="I989">
        <f t="shared" si="15"/>
        <v>159.60000000000002</v>
      </c>
      <c r="J989">
        <v>167.58</v>
      </c>
    </row>
    <row r="990" spans="1:10" x14ac:dyDescent="0.35">
      <c r="A990" t="s">
        <v>25</v>
      </c>
      <c r="B990" t="s">
        <v>15</v>
      </c>
      <c r="C990" t="s">
        <v>16</v>
      </c>
      <c r="D990" t="s">
        <v>13</v>
      </c>
      <c r="E990" t="s">
        <v>22</v>
      </c>
      <c r="F990">
        <v>59.59</v>
      </c>
      <c r="G990">
        <v>4</v>
      </c>
      <c r="H990">
        <v>11.917999999999999</v>
      </c>
      <c r="I990">
        <f t="shared" si="15"/>
        <v>238.36</v>
      </c>
      <c r="J990">
        <v>250.27800000000002</v>
      </c>
    </row>
    <row r="991" spans="1:10" x14ac:dyDescent="0.35">
      <c r="A991" t="s">
        <v>25</v>
      </c>
      <c r="B991" t="s">
        <v>11</v>
      </c>
      <c r="C991" t="s">
        <v>12</v>
      </c>
      <c r="D991" t="s">
        <v>17</v>
      </c>
      <c r="E991" t="s">
        <v>14</v>
      </c>
      <c r="F991">
        <v>58.15</v>
      </c>
      <c r="G991">
        <v>4</v>
      </c>
      <c r="H991">
        <v>11.63</v>
      </c>
      <c r="I991">
        <f t="shared" si="15"/>
        <v>232.6</v>
      </c>
      <c r="J991">
        <v>244.23</v>
      </c>
    </row>
    <row r="992" spans="1:10" x14ac:dyDescent="0.35">
      <c r="A992" t="s">
        <v>25</v>
      </c>
      <c r="B992" t="s">
        <v>15</v>
      </c>
      <c r="C992" t="s">
        <v>16</v>
      </c>
      <c r="D992" t="s">
        <v>17</v>
      </c>
      <c r="E992" t="s">
        <v>14</v>
      </c>
      <c r="F992">
        <v>99.96</v>
      </c>
      <c r="G992">
        <v>7</v>
      </c>
      <c r="H992">
        <v>34.985999999999997</v>
      </c>
      <c r="I992">
        <f t="shared" si="15"/>
        <v>699.71999999999991</v>
      </c>
      <c r="J992">
        <v>734.7059999999999</v>
      </c>
    </row>
    <row r="993" spans="1:10" x14ac:dyDescent="0.35">
      <c r="A993" t="s">
        <v>25</v>
      </c>
      <c r="B993" t="s">
        <v>15</v>
      </c>
      <c r="C993" t="s">
        <v>16</v>
      </c>
      <c r="D993" t="s">
        <v>17</v>
      </c>
      <c r="E993" t="s">
        <v>18</v>
      </c>
      <c r="F993">
        <v>96.37</v>
      </c>
      <c r="G993">
        <v>7</v>
      </c>
      <c r="H993">
        <v>337.29500000000002</v>
      </c>
      <c r="I993">
        <f t="shared" si="15"/>
        <v>674.59</v>
      </c>
      <c r="J993">
        <v>1011.885</v>
      </c>
    </row>
    <row r="994" spans="1:10" x14ac:dyDescent="0.35">
      <c r="A994" t="s">
        <v>25</v>
      </c>
      <c r="B994" t="s">
        <v>20</v>
      </c>
      <c r="C994" t="s">
        <v>21</v>
      </c>
      <c r="D994" t="s">
        <v>13</v>
      </c>
      <c r="E994" t="s">
        <v>14</v>
      </c>
      <c r="F994">
        <v>62</v>
      </c>
      <c r="G994">
        <v>8</v>
      </c>
      <c r="H994">
        <v>24.8</v>
      </c>
      <c r="I994">
        <f t="shared" si="15"/>
        <v>496</v>
      </c>
      <c r="J994">
        <v>520.79999999999995</v>
      </c>
    </row>
    <row r="995" spans="1:10" x14ac:dyDescent="0.35">
      <c r="A995" t="s">
        <v>25</v>
      </c>
      <c r="B995" t="s">
        <v>15</v>
      </c>
      <c r="C995" t="s">
        <v>16</v>
      </c>
      <c r="D995" t="s">
        <v>13</v>
      </c>
      <c r="E995" t="s">
        <v>18</v>
      </c>
      <c r="F995">
        <v>82.34</v>
      </c>
      <c r="G995">
        <v>10</v>
      </c>
      <c r="H995">
        <v>41.17</v>
      </c>
      <c r="I995">
        <f t="shared" si="15"/>
        <v>823.40000000000009</v>
      </c>
      <c r="J995">
        <v>864.57</v>
      </c>
    </row>
    <row r="996" spans="1:10" x14ac:dyDescent="0.35">
      <c r="A996" t="s">
        <v>25</v>
      </c>
      <c r="B996" t="s">
        <v>20</v>
      </c>
      <c r="C996" t="s">
        <v>21</v>
      </c>
      <c r="D996" t="s">
        <v>13</v>
      </c>
      <c r="E996" t="s">
        <v>14</v>
      </c>
      <c r="F996">
        <v>75.37</v>
      </c>
      <c r="G996">
        <v>8</v>
      </c>
      <c r="H996">
        <v>30.148</v>
      </c>
      <c r="I996">
        <f t="shared" si="15"/>
        <v>602.96</v>
      </c>
      <c r="J996">
        <v>633.10800000000006</v>
      </c>
    </row>
    <row r="997" spans="1:10" x14ac:dyDescent="0.35">
      <c r="A997" t="s">
        <v>25</v>
      </c>
      <c r="B997" t="s">
        <v>11</v>
      </c>
      <c r="C997" t="s">
        <v>12</v>
      </c>
      <c r="D997" t="s">
        <v>17</v>
      </c>
      <c r="E997" t="s">
        <v>18</v>
      </c>
      <c r="F997">
        <v>58.03</v>
      </c>
      <c r="G997">
        <v>2</v>
      </c>
      <c r="H997">
        <v>5.8029999999999999</v>
      </c>
      <c r="I997">
        <f t="shared" si="15"/>
        <v>116.06</v>
      </c>
      <c r="J997">
        <v>121.863</v>
      </c>
    </row>
    <row r="998" spans="1:10" x14ac:dyDescent="0.35">
      <c r="A998" t="s">
        <v>25</v>
      </c>
      <c r="B998" t="s">
        <v>20</v>
      </c>
      <c r="C998" t="s">
        <v>21</v>
      </c>
      <c r="D998" t="s">
        <v>17</v>
      </c>
      <c r="E998" t="s">
        <v>23</v>
      </c>
      <c r="F998">
        <v>17.489999999999998</v>
      </c>
      <c r="G998">
        <v>10</v>
      </c>
      <c r="H998">
        <v>8.7449999999999992</v>
      </c>
      <c r="I998">
        <f t="shared" si="15"/>
        <v>174.89999999999998</v>
      </c>
      <c r="J998">
        <v>183.64499999999998</v>
      </c>
    </row>
    <row r="999" spans="1:10" x14ac:dyDescent="0.35">
      <c r="A999" t="s">
        <v>25</v>
      </c>
      <c r="B999" t="s">
        <v>15</v>
      </c>
      <c r="C999" t="s">
        <v>16</v>
      </c>
      <c r="D999" t="s">
        <v>17</v>
      </c>
      <c r="E999" t="s">
        <v>14</v>
      </c>
      <c r="F999">
        <v>40.35</v>
      </c>
      <c r="G999">
        <v>1</v>
      </c>
      <c r="H999">
        <v>2.0175000000000001</v>
      </c>
      <c r="I999">
        <f t="shared" si="15"/>
        <v>40.35</v>
      </c>
      <c r="J999">
        <v>42.3675</v>
      </c>
    </row>
    <row r="1000" spans="1:10" x14ac:dyDescent="0.35">
      <c r="A1000" t="s">
        <v>25</v>
      </c>
      <c r="B1000" t="s">
        <v>11</v>
      </c>
      <c r="C1000" t="s">
        <v>12</v>
      </c>
      <c r="D1000" t="s">
        <v>13</v>
      </c>
      <c r="E1000" t="s">
        <v>22</v>
      </c>
      <c r="F1000">
        <v>31.84</v>
      </c>
      <c r="G1000">
        <v>1</v>
      </c>
      <c r="H1000">
        <v>1.5920000000000001</v>
      </c>
      <c r="I1000">
        <f t="shared" si="15"/>
        <v>31.84</v>
      </c>
      <c r="J1000">
        <v>33.432000000000002</v>
      </c>
    </row>
    <row r="1001" spans="1:10" x14ac:dyDescent="0.35">
      <c r="A1001" t="s">
        <v>25</v>
      </c>
      <c r="B1001" t="s">
        <v>11</v>
      </c>
      <c r="C1001" t="s">
        <v>12</v>
      </c>
      <c r="D1001" t="s">
        <v>17</v>
      </c>
      <c r="E1001" t="s">
        <v>19</v>
      </c>
      <c r="F1001">
        <v>65.819999999999993</v>
      </c>
      <c r="G1001">
        <v>1</v>
      </c>
      <c r="H1001">
        <v>3.2909999999999999</v>
      </c>
      <c r="I1001">
        <f t="shared" si="15"/>
        <v>65.819999999999993</v>
      </c>
      <c r="J1001">
        <v>69.11099999999999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vincent Ozemoya</dc:creator>
  <cp:lastModifiedBy>amamatabdul1996@gmail.com</cp:lastModifiedBy>
  <dcterms:created xsi:type="dcterms:W3CDTF">2026-02-27T15:22:48Z</dcterms:created>
  <dcterms:modified xsi:type="dcterms:W3CDTF">2026-09-17T01:53:31Z</dcterms:modified>
</cp:coreProperties>
</file>